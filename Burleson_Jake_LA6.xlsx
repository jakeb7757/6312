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jakeburleson/Downloads/"/>
    </mc:Choice>
  </mc:AlternateContent>
  <xr:revisionPtr revIDLastSave="0" documentId="13_ncr:1_{0DB2D5FD-E805-DF41-BA3E-35F4CB058C52}" xr6:coauthVersionLast="47" xr6:coauthVersionMax="47" xr10:uidLastSave="{00000000-0000-0000-0000-000000000000}"/>
  <bookViews>
    <workbookView xWindow="17080" yWindow="600" windowWidth="34120" windowHeight="26380" activeTab="2" xr2:uid="{EA5DA310-2FBC-2948-A2F4-13F5CD2DAD08}"/>
  </bookViews>
  <sheets>
    <sheet name="Part1_Diabetes" sheetId="1" r:id="rId1"/>
    <sheet name="Part2_CalDDS" sheetId="2" r:id="rId2"/>
    <sheet name="Part3_Crtiques" sheetId="3" r:id="rId3"/>
  </sheets>
  <definedNames>
    <definedName name="_xlnm._FilterDatabase" localSheetId="0" hidden="1">Part1_Diabetes!$A$1:$I$769</definedName>
    <definedName name="_xlnm._FilterDatabase" localSheetId="1" hidden="1">Part2_CalDDS!$A$1:$F$1001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1" l="1"/>
  <c r="M7" i="1"/>
  <c r="N7" i="1"/>
  <c r="O7" i="1"/>
  <c r="P7" i="1"/>
  <c r="L7" i="1"/>
  <c r="M6" i="1"/>
  <c r="N6" i="1"/>
  <c r="O6" i="1"/>
  <c r="P6" i="1"/>
  <c r="L6" i="1"/>
  <c r="M5" i="1"/>
  <c r="N5" i="1"/>
  <c r="O5" i="1"/>
  <c r="P5" i="1"/>
  <c r="L5" i="1"/>
  <c r="M4" i="1"/>
  <c r="N4" i="1"/>
  <c r="O4" i="1"/>
  <c r="P4" i="1"/>
  <c r="L4" i="1"/>
  <c r="P3" i="1"/>
  <c r="M3" i="1"/>
  <c r="N3" i="1"/>
  <c r="O3" i="1"/>
  <c r="L3" i="1"/>
</calcChain>
</file>

<file path=xl/sharedStrings.xml><?xml version="1.0" encoding="utf-8"?>
<sst xmlns="http://schemas.openxmlformats.org/spreadsheetml/2006/main" count="3063" uniqueCount="72">
  <si>
    <t>Pregnant</t>
  </si>
  <si>
    <t>Glucose</t>
  </si>
  <si>
    <t>Diastolic_BP</t>
  </si>
  <si>
    <t>Skin_Fold</t>
  </si>
  <si>
    <t>Serum_Insulin</t>
  </si>
  <si>
    <t>BMI</t>
  </si>
  <si>
    <t>Diabetes_Pedigree</t>
  </si>
  <si>
    <t>Age</t>
  </si>
  <si>
    <t>Class</t>
  </si>
  <si>
    <t>Id</t>
  </si>
  <si>
    <t>Age Cohort</t>
  </si>
  <si>
    <t>Gender</t>
  </si>
  <si>
    <t>Expenditures</t>
  </si>
  <si>
    <t>Ethnicity</t>
  </si>
  <si>
    <t>13 to 17</t>
  </si>
  <si>
    <t>Female</t>
  </si>
  <si>
    <t>White not Hispanic</t>
  </si>
  <si>
    <t>22 to 50</t>
  </si>
  <si>
    <t>Male</t>
  </si>
  <si>
    <t>0 to 5</t>
  </si>
  <si>
    <t>Hispanic</t>
  </si>
  <si>
    <t>18 to 21</t>
  </si>
  <si>
    <t>Black</t>
  </si>
  <si>
    <t>Multi Race</t>
  </si>
  <si>
    <t>Asian</t>
  </si>
  <si>
    <t>51+</t>
  </si>
  <si>
    <t>6 to 12</t>
  </si>
  <si>
    <t>American Indian</t>
  </si>
  <si>
    <t>Other</t>
  </si>
  <si>
    <t>Native Hawaiian</t>
  </si>
  <si>
    <t>Product</t>
  </si>
  <si>
    <t>Satisfaction Score (out of 100)</t>
  </si>
  <si>
    <t>Product A</t>
  </si>
  <si>
    <t>Product B</t>
  </si>
  <si>
    <t>Chart A</t>
  </si>
  <si>
    <t>Chart B</t>
  </si>
  <si>
    <t>Missing Values</t>
  </si>
  <si>
    <t>Mean</t>
  </si>
  <si>
    <t>Standard Dev</t>
  </si>
  <si>
    <t>Minimum</t>
  </si>
  <si>
    <t>Maximum</t>
  </si>
  <si>
    <t>Analysis 1.1</t>
  </si>
  <si>
    <t>Analysis 1.2</t>
  </si>
  <si>
    <t>Analysis 1.3</t>
  </si>
  <si>
    <t>Highlighting the blank cells complements COUNTBLANK by representing the blank cells visually, which allows for immediate recognition of the scale of missing values. This visualization more clearly highlights the missing data within each record, while COUNTBLANK provides an outlook for the full dataset.</t>
  </si>
  <si>
    <r>
      <rPr>
        <b/>
        <sz val="12"/>
        <color theme="1"/>
        <rFont val="Aptos Narrow"/>
        <scheme val="minor"/>
      </rPr>
      <t>(a)</t>
    </r>
    <r>
      <rPr>
        <sz val="12"/>
        <color theme="1"/>
        <rFont val="Aptos Narrow"/>
        <family val="2"/>
        <scheme val="minor"/>
      </rPr>
      <t xml:space="preserve"> The lowest Diastolic Blood Pressure of 24 is extremely unlikely, given that the Plausible Range is from 60-80. The highest Serum Insulin of 846 is also unlikely, while the information table says insulin can vary wildly post-meal, this is over 7 standard deviations from the mean.</t>
    </r>
  </si>
  <si>
    <r>
      <t xml:space="preserve">(b) </t>
    </r>
    <r>
      <rPr>
        <sz val="12"/>
        <color theme="1"/>
        <rFont val="Aptos Narrow"/>
        <scheme val="minor"/>
      </rPr>
      <t>For the Diastolic Blood Pressure value, there is no easy explanation for why a value of 24 would have been input, a missing first digit or decimal place would be as extreme as the value itself. I would want to find any other records for that patient, and if none exist I would treat it as a missing value.</t>
    </r>
  </si>
  <si>
    <r>
      <t xml:space="preserve">(c) </t>
    </r>
    <r>
      <rPr>
        <sz val="12"/>
        <color theme="1"/>
        <rFont val="Aptos Narrow"/>
        <scheme val="minor"/>
      </rPr>
      <t xml:space="preserve">Suspicious values should not be immediately removed. Some extreme values may be genuine, and removing data without investigating can introduce its own bias, especially in the context of the dataset where extreme values may have significant consequences. </t>
    </r>
  </si>
  <si>
    <t>Analysis 1.4</t>
  </si>
  <si>
    <r>
      <rPr>
        <b/>
        <sz val="12"/>
        <color theme="1"/>
        <rFont val="Aptos Narrow"/>
        <scheme val="minor"/>
      </rPr>
      <t xml:space="preserve">(a) </t>
    </r>
    <r>
      <rPr>
        <sz val="12"/>
        <color theme="1"/>
        <rFont val="Aptos Narrow"/>
        <scheme val="minor"/>
      </rPr>
      <t>The relationship between Age and BMI is flat.</t>
    </r>
  </si>
  <si>
    <r>
      <rPr>
        <b/>
        <sz val="12"/>
        <color theme="1"/>
        <rFont val="Aptos Narrow"/>
        <scheme val="minor"/>
      </rPr>
      <t xml:space="preserve">(b) </t>
    </r>
    <r>
      <rPr>
        <sz val="12"/>
        <color theme="1"/>
        <rFont val="Aptos Narrow"/>
        <scheme val="minor"/>
      </rPr>
      <t>While most BMIs at Age 25 are between 20 and 40, there is one data point that represents a BMI of 59.4 at Age 25.</t>
    </r>
  </si>
  <si>
    <t>Analysis 2.1</t>
  </si>
  <si>
    <r>
      <t xml:space="preserve">(a) </t>
    </r>
    <r>
      <rPr>
        <sz val="12"/>
        <color theme="1"/>
        <rFont val="Aptos Narrow"/>
        <scheme val="minor"/>
      </rPr>
      <t>The overall relationship between Age and Expenditures is positive.</t>
    </r>
  </si>
  <si>
    <r>
      <t xml:space="preserve">(b) </t>
    </r>
    <r>
      <rPr>
        <sz val="12"/>
        <color theme="1"/>
        <rFont val="Aptos Narrow"/>
        <scheme val="minor"/>
      </rPr>
      <t>A researcher might conclude that expenditure increases with age. This is not surprising to me, as seniors tend to have more medical expenses as they get older.</t>
    </r>
  </si>
  <si>
    <t>Analysis 2.2</t>
  </si>
  <si>
    <r>
      <t xml:space="preserve">(a) </t>
    </r>
    <r>
      <rPr>
        <sz val="12"/>
        <color theme="1"/>
        <rFont val="Aptos Narrow"/>
        <scheme val="minor"/>
      </rPr>
      <t>The trendline has not changed direction after separating by ethnicity.</t>
    </r>
  </si>
  <si>
    <r>
      <t xml:space="preserve">(b) </t>
    </r>
    <r>
      <rPr>
        <sz val="12"/>
        <color theme="1"/>
        <rFont val="Aptos Narrow"/>
        <scheme val="minor"/>
      </rPr>
      <t>The age distribution skews much younger for Hispanic clients. Younger clients have lower expenditures, causing the average expenditure of Hispanic clients to be lower than White not Hispanic.</t>
    </r>
  </si>
  <si>
    <t>Analysis 2.3</t>
  </si>
  <si>
    <r>
      <rPr>
        <b/>
        <sz val="12"/>
        <color theme="1"/>
        <rFont val="Aptos Narrow"/>
        <scheme val="minor"/>
      </rPr>
      <t xml:space="preserve">(a) </t>
    </r>
    <r>
      <rPr>
        <sz val="12"/>
        <color theme="1"/>
        <rFont val="Aptos Narrow"/>
        <scheme val="minor"/>
      </rPr>
      <t>Based on the aggregate chart, there is no evidence that older DDS clients receive lower expenditures, in fact the opposite is true.</t>
    </r>
  </si>
  <si>
    <r>
      <rPr>
        <b/>
        <sz val="12"/>
        <color theme="1"/>
        <rFont val="Aptos Narrow"/>
        <scheme val="minor"/>
      </rPr>
      <t xml:space="preserve">(b) </t>
    </r>
    <r>
      <rPr>
        <sz val="12"/>
        <color theme="1"/>
        <rFont val="Aptos Narrow"/>
        <scheme val="minor"/>
      </rPr>
      <t>Customer churn for a wireless carrier could show the same type of error if there were not appropriate subgroups for account tenure, usage, or monthly charge.</t>
    </r>
  </si>
  <si>
    <r>
      <t xml:space="preserve">(c) </t>
    </r>
    <r>
      <rPr>
        <sz val="12"/>
        <color theme="1"/>
        <rFont val="Aptos Narrow"/>
        <scheme val="minor"/>
      </rPr>
      <t>Identify potential confounding variables, like age in this example, and check whether the aggregate trend holds within each subgroup.</t>
    </r>
  </si>
  <si>
    <t>Analysis</t>
  </si>
  <si>
    <r>
      <t xml:space="preserve">(b) </t>
    </r>
    <r>
      <rPr>
        <sz val="12"/>
        <color theme="1"/>
        <rFont val="Aptos Narrow"/>
        <scheme val="minor"/>
      </rPr>
      <t>This gives the impression that the difference between the two products is much larger than the data shows.</t>
    </r>
  </si>
  <si>
    <r>
      <rPr>
        <b/>
        <sz val="12"/>
        <color theme="1"/>
        <rFont val="Aptos Narrow"/>
        <scheme val="minor"/>
      </rPr>
      <t xml:space="preserve">(c) </t>
    </r>
    <r>
      <rPr>
        <sz val="12"/>
        <color theme="1"/>
        <rFont val="Aptos Narrow"/>
        <scheme val="minor"/>
      </rPr>
      <t>Set the y-axis to a 0-100 scale to accurately portray the data.</t>
    </r>
  </si>
  <si>
    <r>
      <t xml:space="preserve">(a) </t>
    </r>
    <r>
      <rPr>
        <sz val="12"/>
        <color theme="1"/>
        <rFont val="Aptos Narrow"/>
        <scheme val="minor"/>
      </rPr>
      <t>California, Texas, and Florida are the darkest in Map A. North Dakota, West Virginia, and Mississippi are the darkest in Map B.</t>
    </r>
  </si>
  <si>
    <r>
      <t xml:space="preserve">(b) </t>
    </r>
    <r>
      <rPr>
        <sz val="12"/>
        <color theme="1"/>
        <rFont val="Aptos Narrow"/>
        <scheme val="minor"/>
      </rPr>
      <t>California and Texas have much larger populations than the other states in the map.</t>
    </r>
  </si>
  <si>
    <r>
      <rPr>
        <b/>
        <sz val="12"/>
        <color theme="1"/>
        <rFont val="Aptos Narrow"/>
        <scheme val="minor"/>
      </rPr>
      <t xml:space="preserve">(c) </t>
    </r>
    <r>
      <rPr>
        <sz val="12"/>
        <color theme="1"/>
        <rFont val="Aptos Narrow"/>
        <scheme val="minor"/>
      </rPr>
      <t xml:space="preserve">The flaw is confusing total cases with infection rate. Map B is the better map for this decision, it shows the states with the highest rates of infection, who need the resources to stop the transmission of the virus. </t>
    </r>
  </si>
  <si>
    <r>
      <rPr>
        <b/>
        <sz val="12"/>
        <color theme="1"/>
        <rFont val="Aptos Narrow"/>
        <scheme val="minor"/>
      </rPr>
      <t xml:space="preserve">(d) </t>
    </r>
    <r>
      <rPr>
        <sz val="12"/>
        <color theme="1"/>
        <rFont val="Aptos Narrow"/>
        <scheme val="minor"/>
      </rPr>
      <t>When reporting sales for wireless carrier retail locations, stores with higher traffic and more affluent customers are going to have higher sales totals than stores with lower traffic in lower income areas.</t>
    </r>
  </si>
  <si>
    <t>Serum_Insulin has the most missing values with 374, representing 49% of its total records. Based on the table, Skin_Fold and Serum_Insulin have the highest rates of missing due to not being checked during a routine physical.</t>
  </si>
  <si>
    <r>
      <t xml:space="preserve">(c) </t>
    </r>
    <r>
      <rPr>
        <sz val="12"/>
        <color theme="1"/>
        <rFont val="Aptos Narrow"/>
        <scheme val="minor"/>
      </rPr>
      <t>While this would be considered an extreme BMI, it is not reflected in the summary statistics due to a data point of 67.1 representing the maximum. Using the scatterplot, a viewer would be able to recognize a BMI of 59.4 at age 25 as an extreme outlier without consulting the information table by comparing outher data points at the same age.</t>
    </r>
  </si>
  <si>
    <r>
      <t xml:space="preserve">(a) </t>
    </r>
    <r>
      <rPr>
        <sz val="12"/>
        <color theme="1"/>
        <rFont val="Aptos Narrow"/>
        <scheme val="minor"/>
      </rPr>
      <t>The scale of the y-axis begins at 80 instead of zero.</t>
    </r>
  </si>
  <si>
    <r>
      <t xml:space="preserve">(c) </t>
    </r>
    <r>
      <rPr>
        <sz val="12"/>
        <color theme="1"/>
        <rFont val="Aptos Narrow"/>
        <scheme val="minor"/>
      </rPr>
      <t>This is an example of Simpson's Paradox, if you were to just look at the average expenditures for the two Ethnicities, you would believe there was racial discrimination in the system. When you look at the disaggregated chart, you see that older Hispanic clients are receiving similar expenditures to White not Hispanic clients, and Hispanic clients are concentrated in the younger age cohorts which receive lower expenditures.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</si>
</sst>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7" x14ac:knownFonts="1">
    <font>
      <sz val="12"/>
      <color theme="1"/>
      <name val="Aptos Narrow"/>
      <family val="2"/>
      <scheme val="minor"/>
    </font>
    <font>
      <b/>
      <sz val="11"/>
      <color rgb="FF6B1A2A"/>
      <name val="Times New Roman"/>
      <family val="1"/>
    </font>
    <font>
      <sz val="11"/>
      <color rgb="FF000000"/>
      <name val="Times New Roman"/>
      <family val="1"/>
    </font>
    <font>
      <b/>
      <sz val="16"/>
      <color theme="1"/>
      <name val="Times New Roman"/>
      <family val="1"/>
    </font>
    <font>
      <sz val="12"/>
      <color theme="1"/>
      <name val="Aptos Narrow"/>
      <family val="2"/>
      <scheme val="minor"/>
    </font>
    <font>
      <b/>
      <sz val="12"/>
      <color theme="1"/>
      <name val="Aptos Narrow"/>
      <scheme val="minor"/>
    </font>
    <font>
      <sz val="12"/>
      <color theme="1"/>
      <name val="Aptos Narrow"/>
      <scheme val="minor"/>
    </font>
  </fonts>
  <fills count="6">
    <fill>
      <patternFill patternType="none"/>
    </fill>
    <fill>
      <patternFill patternType="gray125"/>
    </fill>
    <fill>
      <patternFill patternType="solid">
        <fgColor rgb="FFF2E8EA"/>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right style="medium">
        <color rgb="FFCCCCCC"/>
      </right>
      <top style="medium">
        <color rgb="FF6B1A2A"/>
      </top>
      <bottom style="medium">
        <color rgb="FFCCCCCC"/>
      </bottom>
      <diagonal/>
    </border>
    <border>
      <left/>
      <right/>
      <top style="medium">
        <color rgb="FF6B1A2A"/>
      </top>
      <bottom style="medium">
        <color rgb="FFCCCCCC"/>
      </bottom>
      <diagonal/>
    </border>
    <border>
      <left/>
      <right style="medium">
        <color rgb="FFCCCCCC"/>
      </right>
      <top/>
      <bottom style="medium">
        <color rgb="FFCCCCCC"/>
      </bottom>
      <diagonal/>
    </border>
    <border>
      <left/>
      <right/>
      <top/>
      <bottom style="medium">
        <color rgb="FFCCCCCC"/>
      </bottom>
      <diagonal/>
    </border>
    <border>
      <left/>
      <right style="medium">
        <color rgb="FFCCCCCC"/>
      </right>
      <top/>
      <bottom style="medium">
        <color rgb="FF6B1A2A"/>
      </bottom>
      <diagonal/>
    </border>
    <border>
      <left/>
      <right/>
      <top/>
      <bottom style="medium">
        <color rgb="FF6B1A2A"/>
      </bottom>
      <diagonal/>
    </border>
  </borders>
  <cellStyleXfs count="3">
    <xf numFmtId="0" fontId="0" fillId="0" borderId="0"/>
    <xf numFmtId="9" fontId="4" fillId="0" borderId="0" applyFont="0" applyFill="0" applyBorder="0" applyAlignment="0" applyProtection="0"/>
    <xf numFmtId="44" fontId="4" fillId="0" borderId="0" applyFont="0" applyFill="0" applyBorder="0" applyAlignment="0" applyProtection="0"/>
  </cellStyleXfs>
  <cellXfs count="14">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vertical="center" wrapText="1"/>
    </xf>
    <xf numFmtId="0" fontId="2" fillId="3" borderId="6" xfId="0" applyFont="1" applyFill="1" applyBorder="1" applyAlignment="1">
      <alignment horizontal="center" vertical="center" wrapText="1"/>
    </xf>
    <xf numFmtId="0" fontId="3" fillId="0" borderId="0" xfId="0" applyFont="1"/>
    <xf numFmtId="9" fontId="0" fillId="0" borderId="0" xfId="1" applyFont="1"/>
    <xf numFmtId="0" fontId="0" fillId="4" borderId="0" xfId="0" applyFill="1"/>
    <xf numFmtId="164" fontId="0" fillId="0" borderId="0" xfId="2" applyNumberFormat="1" applyFont="1"/>
    <xf numFmtId="0" fontId="0" fillId="5" borderId="0" xfId="0" applyFill="1"/>
    <xf numFmtId="0" fontId="6" fillId="0" borderId="0" xfId="0" applyFont="1"/>
    <xf numFmtId="0" fontId="5" fillId="0" borderId="0" xfId="0" applyFont="1"/>
  </cellXfs>
  <cellStyles count="3">
    <cellStyle name="Currency" xfId="2" builtinId="4"/>
    <cellStyle name="Normal" xfId="0" builtinId="0"/>
    <cellStyle name="Percent" xfId="1" builtinId="5"/>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Detecting Non-Extreme Outliers,</a:t>
            </a:r>
            <a:r>
              <a:rPr lang="en-US" b="1" baseline="0"/>
              <a:t> BMI by Age</a:t>
            </a:r>
            <a:endParaRPr lang="en-US" b="1"/>
          </a:p>
        </c:rich>
      </c:tx>
      <c:layout>
        <c:manualLayout>
          <c:xMode val="edge"/>
          <c:yMode val="edge"/>
          <c:x val="1.1274038478774109E-2"/>
          <c:y val="1.161562878279643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400737511032907E-2"/>
          <c:y val="0.15126452582396654"/>
          <c:w val="0.89894363697765312"/>
          <c:h val="0.74965919104919776"/>
        </c:manualLayout>
      </c:layout>
      <c:scatterChart>
        <c:scatterStyle val="lineMarker"/>
        <c:varyColors val="0"/>
        <c:ser>
          <c:idx val="0"/>
          <c:order val="0"/>
          <c:tx>
            <c:strRef>
              <c:f>Part1_Diabetes!$H$1</c:f>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Part1_Diabetes!$H$2:$H$769</c:f>
              <c:numCache>
                <c:formatCode>General</c:formatCode>
                <c:ptCount val="757"/>
                <c:pt idx="0">
                  <c:v>50</c:v>
                </c:pt>
                <c:pt idx="1">
                  <c:v>31</c:v>
                </c:pt>
                <c:pt idx="2">
                  <c:v>32</c:v>
                </c:pt>
                <c:pt idx="3">
                  <c:v>21</c:v>
                </c:pt>
                <c:pt idx="4">
                  <c:v>33</c:v>
                </c:pt>
                <c:pt idx="5">
                  <c:v>30</c:v>
                </c:pt>
                <c:pt idx="6">
                  <c:v>26</c:v>
                </c:pt>
                <c:pt idx="7">
                  <c:v>29</c:v>
                </c:pt>
                <c:pt idx="8">
                  <c:v>53</c:v>
                </c:pt>
                <c:pt idx="9">
                  <c:v>30</c:v>
                </c:pt>
                <c:pt idx="10">
                  <c:v>34</c:v>
                </c:pt>
                <c:pt idx="11">
                  <c:v>57</c:v>
                </c:pt>
                <c:pt idx="12">
                  <c:v>59</c:v>
                </c:pt>
                <c:pt idx="13">
                  <c:v>51</c:v>
                </c:pt>
                <c:pt idx="14">
                  <c:v>32</c:v>
                </c:pt>
                <c:pt idx="15">
                  <c:v>31</c:v>
                </c:pt>
                <c:pt idx="16">
                  <c:v>31</c:v>
                </c:pt>
                <c:pt idx="17">
                  <c:v>33</c:v>
                </c:pt>
                <c:pt idx="18">
                  <c:v>32</c:v>
                </c:pt>
                <c:pt idx="19">
                  <c:v>27</c:v>
                </c:pt>
                <c:pt idx="20">
                  <c:v>50</c:v>
                </c:pt>
                <c:pt idx="21">
                  <c:v>41</c:v>
                </c:pt>
                <c:pt idx="22">
                  <c:v>29</c:v>
                </c:pt>
                <c:pt idx="23">
                  <c:v>51</c:v>
                </c:pt>
                <c:pt idx="24">
                  <c:v>41</c:v>
                </c:pt>
                <c:pt idx="25">
                  <c:v>43</c:v>
                </c:pt>
                <c:pt idx="26">
                  <c:v>22</c:v>
                </c:pt>
                <c:pt idx="27">
                  <c:v>57</c:v>
                </c:pt>
                <c:pt idx="28">
                  <c:v>38</c:v>
                </c:pt>
                <c:pt idx="29">
                  <c:v>60</c:v>
                </c:pt>
                <c:pt idx="30">
                  <c:v>28</c:v>
                </c:pt>
                <c:pt idx="31">
                  <c:v>22</c:v>
                </c:pt>
                <c:pt idx="32">
                  <c:v>28</c:v>
                </c:pt>
                <c:pt idx="33">
                  <c:v>45</c:v>
                </c:pt>
                <c:pt idx="34">
                  <c:v>33</c:v>
                </c:pt>
                <c:pt idx="35">
                  <c:v>35</c:v>
                </c:pt>
                <c:pt idx="36">
                  <c:v>46</c:v>
                </c:pt>
                <c:pt idx="37">
                  <c:v>27</c:v>
                </c:pt>
                <c:pt idx="38">
                  <c:v>56</c:v>
                </c:pt>
                <c:pt idx="39">
                  <c:v>26</c:v>
                </c:pt>
                <c:pt idx="40">
                  <c:v>37</c:v>
                </c:pt>
                <c:pt idx="41">
                  <c:v>48</c:v>
                </c:pt>
                <c:pt idx="42">
                  <c:v>54</c:v>
                </c:pt>
                <c:pt idx="43">
                  <c:v>40</c:v>
                </c:pt>
                <c:pt idx="44">
                  <c:v>25</c:v>
                </c:pt>
                <c:pt idx="45">
                  <c:v>29</c:v>
                </c:pt>
                <c:pt idx="46">
                  <c:v>22</c:v>
                </c:pt>
                <c:pt idx="47">
                  <c:v>31</c:v>
                </c:pt>
                <c:pt idx="48">
                  <c:v>22</c:v>
                </c:pt>
                <c:pt idx="49">
                  <c:v>26</c:v>
                </c:pt>
                <c:pt idx="50">
                  <c:v>30</c:v>
                </c:pt>
                <c:pt idx="51">
                  <c:v>58</c:v>
                </c:pt>
                <c:pt idx="52">
                  <c:v>42</c:v>
                </c:pt>
                <c:pt idx="53">
                  <c:v>21</c:v>
                </c:pt>
                <c:pt idx="54">
                  <c:v>41</c:v>
                </c:pt>
                <c:pt idx="55">
                  <c:v>31</c:v>
                </c:pt>
                <c:pt idx="56">
                  <c:v>44</c:v>
                </c:pt>
                <c:pt idx="57">
                  <c:v>22</c:v>
                </c:pt>
                <c:pt idx="58">
                  <c:v>39</c:v>
                </c:pt>
                <c:pt idx="59">
                  <c:v>36</c:v>
                </c:pt>
                <c:pt idx="60">
                  <c:v>24</c:v>
                </c:pt>
                <c:pt idx="61">
                  <c:v>42</c:v>
                </c:pt>
                <c:pt idx="62">
                  <c:v>32</c:v>
                </c:pt>
                <c:pt idx="63">
                  <c:v>38</c:v>
                </c:pt>
                <c:pt idx="64">
                  <c:v>54</c:v>
                </c:pt>
                <c:pt idx="65">
                  <c:v>25</c:v>
                </c:pt>
                <c:pt idx="66">
                  <c:v>27</c:v>
                </c:pt>
                <c:pt idx="67">
                  <c:v>28</c:v>
                </c:pt>
                <c:pt idx="68">
                  <c:v>26</c:v>
                </c:pt>
                <c:pt idx="69">
                  <c:v>42</c:v>
                </c:pt>
                <c:pt idx="70">
                  <c:v>23</c:v>
                </c:pt>
                <c:pt idx="71">
                  <c:v>22</c:v>
                </c:pt>
                <c:pt idx="72">
                  <c:v>22</c:v>
                </c:pt>
                <c:pt idx="73">
                  <c:v>41</c:v>
                </c:pt>
                <c:pt idx="74">
                  <c:v>27</c:v>
                </c:pt>
                <c:pt idx="75">
                  <c:v>26</c:v>
                </c:pt>
                <c:pt idx="76">
                  <c:v>24</c:v>
                </c:pt>
                <c:pt idx="77">
                  <c:v>22</c:v>
                </c:pt>
                <c:pt idx="78">
                  <c:v>36</c:v>
                </c:pt>
                <c:pt idx="79">
                  <c:v>22</c:v>
                </c:pt>
                <c:pt idx="80">
                  <c:v>37</c:v>
                </c:pt>
                <c:pt idx="81">
                  <c:v>27</c:v>
                </c:pt>
                <c:pt idx="82">
                  <c:v>45</c:v>
                </c:pt>
                <c:pt idx="83">
                  <c:v>26</c:v>
                </c:pt>
                <c:pt idx="84">
                  <c:v>43</c:v>
                </c:pt>
                <c:pt idx="85">
                  <c:v>24</c:v>
                </c:pt>
                <c:pt idx="86">
                  <c:v>21</c:v>
                </c:pt>
                <c:pt idx="87">
                  <c:v>34</c:v>
                </c:pt>
                <c:pt idx="88">
                  <c:v>42</c:v>
                </c:pt>
                <c:pt idx="89">
                  <c:v>60</c:v>
                </c:pt>
                <c:pt idx="90">
                  <c:v>21</c:v>
                </c:pt>
                <c:pt idx="91">
                  <c:v>40</c:v>
                </c:pt>
                <c:pt idx="92">
                  <c:v>24</c:v>
                </c:pt>
                <c:pt idx="93">
                  <c:v>22</c:v>
                </c:pt>
                <c:pt idx="94">
                  <c:v>23</c:v>
                </c:pt>
                <c:pt idx="95">
                  <c:v>31</c:v>
                </c:pt>
                <c:pt idx="96">
                  <c:v>33</c:v>
                </c:pt>
                <c:pt idx="97">
                  <c:v>22</c:v>
                </c:pt>
                <c:pt idx="98">
                  <c:v>21</c:v>
                </c:pt>
                <c:pt idx="99">
                  <c:v>24</c:v>
                </c:pt>
                <c:pt idx="100">
                  <c:v>27</c:v>
                </c:pt>
                <c:pt idx="101">
                  <c:v>21</c:v>
                </c:pt>
                <c:pt idx="102">
                  <c:v>27</c:v>
                </c:pt>
                <c:pt idx="103">
                  <c:v>37</c:v>
                </c:pt>
                <c:pt idx="104">
                  <c:v>25</c:v>
                </c:pt>
                <c:pt idx="105">
                  <c:v>24</c:v>
                </c:pt>
                <c:pt idx="106">
                  <c:v>24</c:v>
                </c:pt>
                <c:pt idx="107">
                  <c:v>46</c:v>
                </c:pt>
                <c:pt idx="108">
                  <c:v>23</c:v>
                </c:pt>
                <c:pt idx="109">
                  <c:v>25</c:v>
                </c:pt>
                <c:pt idx="110">
                  <c:v>39</c:v>
                </c:pt>
                <c:pt idx="111">
                  <c:v>61</c:v>
                </c:pt>
                <c:pt idx="112">
                  <c:v>38</c:v>
                </c:pt>
                <c:pt idx="113">
                  <c:v>25</c:v>
                </c:pt>
                <c:pt idx="114">
                  <c:v>22</c:v>
                </c:pt>
                <c:pt idx="115">
                  <c:v>21</c:v>
                </c:pt>
                <c:pt idx="116">
                  <c:v>25</c:v>
                </c:pt>
                <c:pt idx="117">
                  <c:v>24</c:v>
                </c:pt>
                <c:pt idx="118">
                  <c:v>23</c:v>
                </c:pt>
                <c:pt idx="119">
                  <c:v>69</c:v>
                </c:pt>
                <c:pt idx="120">
                  <c:v>23</c:v>
                </c:pt>
                <c:pt idx="121">
                  <c:v>26</c:v>
                </c:pt>
                <c:pt idx="122">
                  <c:v>30</c:v>
                </c:pt>
                <c:pt idx="123">
                  <c:v>23</c:v>
                </c:pt>
                <c:pt idx="124">
                  <c:v>40</c:v>
                </c:pt>
                <c:pt idx="125">
                  <c:v>62</c:v>
                </c:pt>
                <c:pt idx="126">
                  <c:v>33</c:v>
                </c:pt>
                <c:pt idx="127">
                  <c:v>33</c:v>
                </c:pt>
                <c:pt idx="128">
                  <c:v>30</c:v>
                </c:pt>
                <c:pt idx="129">
                  <c:v>39</c:v>
                </c:pt>
                <c:pt idx="130">
                  <c:v>26</c:v>
                </c:pt>
                <c:pt idx="131">
                  <c:v>31</c:v>
                </c:pt>
                <c:pt idx="132">
                  <c:v>21</c:v>
                </c:pt>
                <c:pt idx="133">
                  <c:v>22</c:v>
                </c:pt>
                <c:pt idx="134">
                  <c:v>29</c:v>
                </c:pt>
                <c:pt idx="135">
                  <c:v>28</c:v>
                </c:pt>
                <c:pt idx="136">
                  <c:v>55</c:v>
                </c:pt>
                <c:pt idx="137">
                  <c:v>38</c:v>
                </c:pt>
                <c:pt idx="138">
                  <c:v>22</c:v>
                </c:pt>
                <c:pt idx="139">
                  <c:v>42</c:v>
                </c:pt>
                <c:pt idx="140">
                  <c:v>23</c:v>
                </c:pt>
                <c:pt idx="141">
                  <c:v>41</c:v>
                </c:pt>
                <c:pt idx="142">
                  <c:v>34</c:v>
                </c:pt>
                <c:pt idx="143">
                  <c:v>65</c:v>
                </c:pt>
                <c:pt idx="144">
                  <c:v>22</c:v>
                </c:pt>
                <c:pt idx="145">
                  <c:v>24</c:v>
                </c:pt>
                <c:pt idx="146">
                  <c:v>37</c:v>
                </c:pt>
                <c:pt idx="147">
                  <c:v>42</c:v>
                </c:pt>
                <c:pt idx="148">
                  <c:v>23</c:v>
                </c:pt>
                <c:pt idx="149">
                  <c:v>43</c:v>
                </c:pt>
                <c:pt idx="150">
                  <c:v>36</c:v>
                </c:pt>
                <c:pt idx="151">
                  <c:v>21</c:v>
                </c:pt>
                <c:pt idx="152">
                  <c:v>23</c:v>
                </c:pt>
                <c:pt idx="153">
                  <c:v>22</c:v>
                </c:pt>
                <c:pt idx="154">
                  <c:v>47</c:v>
                </c:pt>
                <c:pt idx="155">
                  <c:v>36</c:v>
                </c:pt>
                <c:pt idx="156">
                  <c:v>45</c:v>
                </c:pt>
                <c:pt idx="157">
                  <c:v>27</c:v>
                </c:pt>
                <c:pt idx="158">
                  <c:v>21</c:v>
                </c:pt>
                <c:pt idx="159">
                  <c:v>32</c:v>
                </c:pt>
                <c:pt idx="160">
                  <c:v>41</c:v>
                </c:pt>
                <c:pt idx="161">
                  <c:v>22</c:v>
                </c:pt>
                <c:pt idx="162">
                  <c:v>34</c:v>
                </c:pt>
                <c:pt idx="163">
                  <c:v>29</c:v>
                </c:pt>
                <c:pt idx="164">
                  <c:v>29</c:v>
                </c:pt>
                <c:pt idx="165">
                  <c:v>36</c:v>
                </c:pt>
                <c:pt idx="166">
                  <c:v>29</c:v>
                </c:pt>
                <c:pt idx="167">
                  <c:v>25</c:v>
                </c:pt>
                <c:pt idx="168">
                  <c:v>23</c:v>
                </c:pt>
                <c:pt idx="169">
                  <c:v>33</c:v>
                </c:pt>
                <c:pt idx="170">
                  <c:v>36</c:v>
                </c:pt>
                <c:pt idx="171">
                  <c:v>42</c:v>
                </c:pt>
                <c:pt idx="172">
                  <c:v>26</c:v>
                </c:pt>
                <c:pt idx="173">
                  <c:v>47</c:v>
                </c:pt>
                <c:pt idx="174">
                  <c:v>37</c:v>
                </c:pt>
                <c:pt idx="175">
                  <c:v>32</c:v>
                </c:pt>
                <c:pt idx="176">
                  <c:v>23</c:v>
                </c:pt>
                <c:pt idx="177">
                  <c:v>21</c:v>
                </c:pt>
                <c:pt idx="178">
                  <c:v>27</c:v>
                </c:pt>
                <c:pt idx="179">
                  <c:v>40</c:v>
                </c:pt>
                <c:pt idx="180">
                  <c:v>41</c:v>
                </c:pt>
                <c:pt idx="181">
                  <c:v>60</c:v>
                </c:pt>
                <c:pt idx="182">
                  <c:v>33</c:v>
                </c:pt>
                <c:pt idx="183">
                  <c:v>31</c:v>
                </c:pt>
                <c:pt idx="184">
                  <c:v>25</c:v>
                </c:pt>
                <c:pt idx="185">
                  <c:v>21</c:v>
                </c:pt>
                <c:pt idx="186">
                  <c:v>40</c:v>
                </c:pt>
                <c:pt idx="187">
                  <c:v>36</c:v>
                </c:pt>
                <c:pt idx="188">
                  <c:v>40</c:v>
                </c:pt>
                <c:pt idx="189">
                  <c:v>42</c:v>
                </c:pt>
                <c:pt idx="190">
                  <c:v>29</c:v>
                </c:pt>
                <c:pt idx="191">
                  <c:v>21</c:v>
                </c:pt>
                <c:pt idx="192">
                  <c:v>23</c:v>
                </c:pt>
                <c:pt idx="193">
                  <c:v>26</c:v>
                </c:pt>
                <c:pt idx="194">
                  <c:v>29</c:v>
                </c:pt>
                <c:pt idx="195">
                  <c:v>21</c:v>
                </c:pt>
                <c:pt idx="196">
                  <c:v>28</c:v>
                </c:pt>
                <c:pt idx="197">
                  <c:v>32</c:v>
                </c:pt>
                <c:pt idx="198">
                  <c:v>27</c:v>
                </c:pt>
                <c:pt idx="199">
                  <c:v>55</c:v>
                </c:pt>
                <c:pt idx="200">
                  <c:v>27</c:v>
                </c:pt>
                <c:pt idx="201">
                  <c:v>57</c:v>
                </c:pt>
                <c:pt idx="202">
                  <c:v>52</c:v>
                </c:pt>
                <c:pt idx="203">
                  <c:v>21</c:v>
                </c:pt>
                <c:pt idx="204">
                  <c:v>41</c:v>
                </c:pt>
                <c:pt idx="205">
                  <c:v>25</c:v>
                </c:pt>
                <c:pt idx="206">
                  <c:v>24</c:v>
                </c:pt>
                <c:pt idx="207">
                  <c:v>60</c:v>
                </c:pt>
                <c:pt idx="208">
                  <c:v>24</c:v>
                </c:pt>
                <c:pt idx="209">
                  <c:v>36</c:v>
                </c:pt>
                <c:pt idx="210">
                  <c:v>38</c:v>
                </c:pt>
                <c:pt idx="211">
                  <c:v>25</c:v>
                </c:pt>
                <c:pt idx="212">
                  <c:v>32</c:v>
                </c:pt>
                <c:pt idx="213">
                  <c:v>32</c:v>
                </c:pt>
                <c:pt idx="214">
                  <c:v>41</c:v>
                </c:pt>
                <c:pt idx="215">
                  <c:v>21</c:v>
                </c:pt>
                <c:pt idx="216">
                  <c:v>66</c:v>
                </c:pt>
                <c:pt idx="217">
                  <c:v>37</c:v>
                </c:pt>
                <c:pt idx="218">
                  <c:v>61</c:v>
                </c:pt>
                <c:pt idx="219">
                  <c:v>26</c:v>
                </c:pt>
                <c:pt idx="220">
                  <c:v>22</c:v>
                </c:pt>
                <c:pt idx="221">
                  <c:v>26</c:v>
                </c:pt>
                <c:pt idx="222">
                  <c:v>24</c:v>
                </c:pt>
                <c:pt idx="223">
                  <c:v>31</c:v>
                </c:pt>
                <c:pt idx="224">
                  <c:v>24</c:v>
                </c:pt>
                <c:pt idx="225">
                  <c:v>22</c:v>
                </c:pt>
                <c:pt idx="226">
                  <c:v>46</c:v>
                </c:pt>
                <c:pt idx="227">
                  <c:v>22</c:v>
                </c:pt>
                <c:pt idx="228">
                  <c:v>29</c:v>
                </c:pt>
                <c:pt idx="229">
                  <c:v>23</c:v>
                </c:pt>
                <c:pt idx="230">
                  <c:v>26</c:v>
                </c:pt>
                <c:pt idx="231">
                  <c:v>51</c:v>
                </c:pt>
                <c:pt idx="232">
                  <c:v>23</c:v>
                </c:pt>
                <c:pt idx="233">
                  <c:v>32</c:v>
                </c:pt>
                <c:pt idx="234">
                  <c:v>27</c:v>
                </c:pt>
                <c:pt idx="235">
                  <c:v>21</c:v>
                </c:pt>
                <c:pt idx="236">
                  <c:v>22</c:v>
                </c:pt>
                <c:pt idx="237">
                  <c:v>22</c:v>
                </c:pt>
                <c:pt idx="238">
                  <c:v>33</c:v>
                </c:pt>
                <c:pt idx="239">
                  <c:v>29</c:v>
                </c:pt>
                <c:pt idx="240">
                  <c:v>49</c:v>
                </c:pt>
                <c:pt idx="241">
                  <c:v>41</c:v>
                </c:pt>
                <c:pt idx="242">
                  <c:v>23</c:v>
                </c:pt>
                <c:pt idx="243">
                  <c:v>34</c:v>
                </c:pt>
                <c:pt idx="244">
                  <c:v>23</c:v>
                </c:pt>
                <c:pt idx="245">
                  <c:v>42</c:v>
                </c:pt>
                <c:pt idx="246">
                  <c:v>27</c:v>
                </c:pt>
                <c:pt idx="247">
                  <c:v>24</c:v>
                </c:pt>
                <c:pt idx="248">
                  <c:v>25</c:v>
                </c:pt>
                <c:pt idx="249">
                  <c:v>44</c:v>
                </c:pt>
                <c:pt idx="250">
                  <c:v>21</c:v>
                </c:pt>
                <c:pt idx="251">
                  <c:v>30</c:v>
                </c:pt>
                <c:pt idx="252">
                  <c:v>25</c:v>
                </c:pt>
                <c:pt idx="253">
                  <c:v>24</c:v>
                </c:pt>
                <c:pt idx="254">
                  <c:v>51</c:v>
                </c:pt>
                <c:pt idx="255">
                  <c:v>34</c:v>
                </c:pt>
                <c:pt idx="256">
                  <c:v>27</c:v>
                </c:pt>
                <c:pt idx="257">
                  <c:v>24</c:v>
                </c:pt>
                <c:pt idx="258">
                  <c:v>63</c:v>
                </c:pt>
                <c:pt idx="259">
                  <c:v>35</c:v>
                </c:pt>
                <c:pt idx="260">
                  <c:v>43</c:v>
                </c:pt>
                <c:pt idx="261">
                  <c:v>25</c:v>
                </c:pt>
                <c:pt idx="262">
                  <c:v>24</c:v>
                </c:pt>
                <c:pt idx="263">
                  <c:v>21</c:v>
                </c:pt>
                <c:pt idx="264">
                  <c:v>28</c:v>
                </c:pt>
                <c:pt idx="265">
                  <c:v>38</c:v>
                </c:pt>
                <c:pt idx="266">
                  <c:v>21</c:v>
                </c:pt>
                <c:pt idx="267">
                  <c:v>40</c:v>
                </c:pt>
                <c:pt idx="268">
                  <c:v>21</c:v>
                </c:pt>
                <c:pt idx="269">
                  <c:v>52</c:v>
                </c:pt>
                <c:pt idx="270">
                  <c:v>25</c:v>
                </c:pt>
                <c:pt idx="271">
                  <c:v>29</c:v>
                </c:pt>
                <c:pt idx="272">
                  <c:v>23</c:v>
                </c:pt>
                <c:pt idx="273">
                  <c:v>57</c:v>
                </c:pt>
                <c:pt idx="274">
                  <c:v>22</c:v>
                </c:pt>
                <c:pt idx="275">
                  <c:v>28</c:v>
                </c:pt>
                <c:pt idx="276">
                  <c:v>39</c:v>
                </c:pt>
                <c:pt idx="277">
                  <c:v>37</c:v>
                </c:pt>
                <c:pt idx="278">
                  <c:v>47</c:v>
                </c:pt>
                <c:pt idx="279">
                  <c:v>52</c:v>
                </c:pt>
                <c:pt idx="280">
                  <c:v>51</c:v>
                </c:pt>
                <c:pt idx="281">
                  <c:v>34</c:v>
                </c:pt>
                <c:pt idx="282">
                  <c:v>29</c:v>
                </c:pt>
                <c:pt idx="283">
                  <c:v>26</c:v>
                </c:pt>
                <c:pt idx="284">
                  <c:v>33</c:v>
                </c:pt>
                <c:pt idx="285">
                  <c:v>21</c:v>
                </c:pt>
                <c:pt idx="286">
                  <c:v>25</c:v>
                </c:pt>
                <c:pt idx="287">
                  <c:v>31</c:v>
                </c:pt>
                <c:pt idx="288">
                  <c:v>24</c:v>
                </c:pt>
                <c:pt idx="289">
                  <c:v>65</c:v>
                </c:pt>
                <c:pt idx="290">
                  <c:v>28</c:v>
                </c:pt>
                <c:pt idx="291">
                  <c:v>29</c:v>
                </c:pt>
                <c:pt idx="292">
                  <c:v>24</c:v>
                </c:pt>
                <c:pt idx="293">
                  <c:v>46</c:v>
                </c:pt>
                <c:pt idx="294">
                  <c:v>58</c:v>
                </c:pt>
                <c:pt idx="295">
                  <c:v>30</c:v>
                </c:pt>
                <c:pt idx="296">
                  <c:v>25</c:v>
                </c:pt>
                <c:pt idx="297">
                  <c:v>35</c:v>
                </c:pt>
                <c:pt idx="298">
                  <c:v>28</c:v>
                </c:pt>
                <c:pt idx="299">
                  <c:v>37</c:v>
                </c:pt>
                <c:pt idx="300">
                  <c:v>29</c:v>
                </c:pt>
                <c:pt idx="301">
                  <c:v>47</c:v>
                </c:pt>
                <c:pt idx="302">
                  <c:v>21</c:v>
                </c:pt>
                <c:pt idx="303">
                  <c:v>25</c:v>
                </c:pt>
                <c:pt idx="304">
                  <c:v>30</c:v>
                </c:pt>
                <c:pt idx="305">
                  <c:v>41</c:v>
                </c:pt>
                <c:pt idx="306">
                  <c:v>22</c:v>
                </c:pt>
                <c:pt idx="307">
                  <c:v>27</c:v>
                </c:pt>
                <c:pt idx="308">
                  <c:v>25</c:v>
                </c:pt>
                <c:pt idx="309">
                  <c:v>43</c:v>
                </c:pt>
                <c:pt idx="310">
                  <c:v>26</c:v>
                </c:pt>
                <c:pt idx="311">
                  <c:v>30</c:v>
                </c:pt>
                <c:pt idx="312">
                  <c:v>29</c:v>
                </c:pt>
                <c:pt idx="313">
                  <c:v>28</c:v>
                </c:pt>
                <c:pt idx="314">
                  <c:v>59</c:v>
                </c:pt>
                <c:pt idx="315">
                  <c:v>31</c:v>
                </c:pt>
                <c:pt idx="316">
                  <c:v>25</c:v>
                </c:pt>
                <c:pt idx="317">
                  <c:v>36</c:v>
                </c:pt>
                <c:pt idx="318">
                  <c:v>43</c:v>
                </c:pt>
                <c:pt idx="319">
                  <c:v>21</c:v>
                </c:pt>
                <c:pt idx="320">
                  <c:v>24</c:v>
                </c:pt>
                <c:pt idx="321">
                  <c:v>30</c:v>
                </c:pt>
                <c:pt idx="322">
                  <c:v>37</c:v>
                </c:pt>
                <c:pt idx="323">
                  <c:v>23</c:v>
                </c:pt>
                <c:pt idx="324">
                  <c:v>37</c:v>
                </c:pt>
                <c:pt idx="325">
                  <c:v>46</c:v>
                </c:pt>
                <c:pt idx="326">
                  <c:v>25</c:v>
                </c:pt>
                <c:pt idx="327">
                  <c:v>41</c:v>
                </c:pt>
                <c:pt idx="328">
                  <c:v>44</c:v>
                </c:pt>
                <c:pt idx="329">
                  <c:v>22</c:v>
                </c:pt>
                <c:pt idx="330">
                  <c:v>26</c:v>
                </c:pt>
                <c:pt idx="331">
                  <c:v>44</c:v>
                </c:pt>
                <c:pt idx="332">
                  <c:v>44</c:v>
                </c:pt>
                <c:pt idx="333">
                  <c:v>33</c:v>
                </c:pt>
                <c:pt idx="334">
                  <c:v>41</c:v>
                </c:pt>
                <c:pt idx="335">
                  <c:v>22</c:v>
                </c:pt>
                <c:pt idx="336">
                  <c:v>36</c:v>
                </c:pt>
                <c:pt idx="337">
                  <c:v>22</c:v>
                </c:pt>
                <c:pt idx="338">
                  <c:v>33</c:v>
                </c:pt>
                <c:pt idx="339">
                  <c:v>57</c:v>
                </c:pt>
                <c:pt idx="340">
                  <c:v>49</c:v>
                </c:pt>
                <c:pt idx="341">
                  <c:v>22</c:v>
                </c:pt>
                <c:pt idx="342">
                  <c:v>23</c:v>
                </c:pt>
                <c:pt idx="343">
                  <c:v>26</c:v>
                </c:pt>
                <c:pt idx="344">
                  <c:v>37</c:v>
                </c:pt>
                <c:pt idx="345">
                  <c:v>29</c:v>
                </c:pt>
                <c:pt idx="346">
                  <c:v>30</c:v>
                </c:pt>
                <c:pt idx="347">
                  <c:v>46</c:v>
                </c:pt>
                <c:pt idx="348">
                  <c:v>24</c:v>
                </c:pt>
                <c:pt idx="349">
                  <c:v>21</c:v>
                </c:pt>
                <c:pt idx="350">
                  <c:v>49</c:v>
                </c:pt>
                <c:pt idx="351">
                  <c:v>28</c:v>
                </c:pt>
                <c:pt idx="352">
                  <c:v>44</c:v>
                </c:pt>
                <c:pt idx="353">
                  <c:v>48</c:v>
                </c:pt>
                <c:pt idx="354">
                  <c:v>29</c:v>
                </c:pt>
                <c:pt idx="355">
                  <c:v>29</c:v>
                </c:pt>
                <c:pt idx="356">
                  <c:v>63</c:v>
                </c:pt>
                <c:pt idx="357">
                  <c:v>65</c:v>
                </c:pt>
                <c:pt idx="358">
                  <c:v>67</c:v>
                </c:pt>
                <c:pt idx="359">
                  <c:v>30</c:v>
                </c:pt>
                <c:pt idx="360">
                  <c:v>30</c:v>
                </c:pt>
                <c:pt idx="361">
                  <c:v>29</c:v>
                </c:pt>
                <c:pt idx="362">
                  <c:v>21</c:v>
                </c:pt>
                <c:pt idx="363">
                  <c:v>22</c:v>
                </c:pt>
                <c:pt idx="364">
                  <c:v>45</c:v>
                </c:pt>
                <c:pt idx="365">
                  <c:v>25</c:v>
                </c:pt>
                <c:pt idx="366">
                  <c:v>21</c:v>
                </c:pt>
                <c:pt idx="367">
                  <c:v>25</c:v>
                </c:pt>
                <c:pt idx="368">
                  <c:v>28</c:v>
                </c:pt>
                <c:pt idx="369">
                  <c:v>58</c:v>
                </c:pt>
                <c:pt idx="370">
                  <c:v>22</c:v>
                </c:pt>
                <c:pt idx="371">
                  <c:v>22</c:v>
                </c:pt>
                <c:pt idx="372">
                  <c:v>32</c:v>
                </c:pt>
                <c:pt idx="373">
                  <c:v>35</c:v>
                </c:pt>
                <c:pt idx="374">
                  <c:v>24</c:v>
                </c:pt>
                <c:pt idx="375">
                  <c:v>22</c:v>
                </c:pt>
                <c:pt idx="376">
                  <c:v>21</c:v>
                </c:pt>
                <c:pt idx="377">
                  <c:v>25</c:v>
                </c:pt>
                <c:pt idx="378">
                  <c:v>25</c:v>
                </c:pt>
                <c:pt idx="379">
                  <c:v>24</c:v>
                </c:pt>
                <c:pt idx="380">
                  <c:v>35</c:v>
                </c:pt>
                <c:pt idx="381">
                  <c:v>45</c:v>
                </c:pt>
                <c:pt idx="382">
                  <c:v>58</c:v>
                </c:pt>
                <c:pt idx="383">
                  <c:v>28</c:v>
                </c:pt>
                <c:pt idx="384">
                  <c:v>42</c:v>
                </c:pt>
                <c:pt idx="385">
                  <c:v>27</c:v>
                </c:pt>
                <c:pt idx="386">
                  <c:v>21</c:v>
                </c:pt>
                <c:pt idx="387">
                  <c:v>37</c:v>
                </c:pt>
                <c:pt idx="388">
                  <c:v>31</c:v>
                </c:pt>
                <c:pt idx="389">
                  <c:v>25</c:v>
                </c:pt>
                <c:pt idx="390">
                  <c:v>39</c:v>
                </c:pt>
                <c:pt idx="391">
                  <c:v>22</c:v>
                </c:pt>
                <c:pt idx="392">
                  <c:v>25</c:v>
                </c:pt>
                <c:pt idx="393">
                  <c:v>25</c:v>
                </c:pt>
                <c:pt idx="394">
                  <c:v>31</c:v>
                </c:pt>
                <c:pt idx="395">
                  <c:v>55</c:v>
                </c:pt>
                <c:pt idx="396">
                  <c:v>35</c:v>
                </c:pt>
                <c:pt idx="397">
                  <c:v>38</c:v>
                </c:pt>
                <c:pt idx="398">
                  <c:v>41</c:v>
                </c:pt>
                <c:pt idx="399">
                  <c:v>26</c:v>
                </c:pt>
                <c:pt idx="400">
                  <c:v>46</c:v>
                </c:pt>
                <c:pt idx="401">
                  <c:v>25</c:v>
                </c:pt>
                <c:pt idx="402">
                  <c:v>39</c:v>
                </c:pt>
                <c:pt idx="403">
                  <c:v>28</c:v>
                </c:pt>
                <c:pt idx="404">
                  <c:v>28</c:v>
                </c:pt>
                <c:pt idx="405">
                  <c:v>25</c:v>
                </c:pt>
                <c:pt idx="406">
                  <c:v>22</c:v>
                </c:pt>
                <c:pt idx="407">
                  <c:v>21</c:v>
                </c:pt>
                <c:pt idx="408">
                  <c:v>21</c:v>
                </c:pt>
                <c:pt idx="409">
                  <c:v>22</c:v>
                </c:pt>
                <c:pt idx="410">
                  <c:v>22</c:v>
                </c:pt>
                <c:pt idx="411">
                  <c:v>37</c:v>
                </c:pt>
                <c:pt idx="412">
                  <c:v>27</c:v>
                </c:pt>
                <c:pt idx="413">
                  <c:v>28</c:v>
                </c:pt>
                <c:pt idx="414">
                  <c:v>26</c:v>
                </c:pt>
                <c:pt idx="415">
                  <c:v>21</c:v>
                </c:pt>
                <c:pt idx="416">
                  <c:v>21</c:v>
                </c:pt>
                <c:pt idx="417">
                  <c:v>21</c:v>
                </c:pt>
                <c:pt idx="418">
                  <c:v>36</c:v>
                </c:pt>
                <c:pt idx="419">
                  <c:v>31</c:v>
                </c:pt>
                <c:pt idx="420">
                  <c:v>38</c:v>
                </c:pt>
                <c:pt idx="421">
                  <c:v>26</c:v>
                </c:pt>
                <c:pt idx="422">
                  <c:v>43</c:v>
                </c:pt>
                <c:pt idx="423">
                  <c:v>23</c:v>
                </c:pt>
                <c:pt idx="424">
                  <c:v>38</c:v>
                </c:pt>
                <c:pt idx="425">
                  <c:v>22</c:v>
                </c:pt>
                <c:pt idx="426">
                  <c:v>29</c:v>
                </c:pt>
                <c:pt idx="427">
                  <c:v>36</c:v>
                </c:pt>
                <c:pt idx="428">
                  <c:v>29</c:v>
                </c:pt>
                <c:pt idx="429">
                  <c:v>41</c:v>
                </c:pt>
                <c:pt idx="430">
                  <c:v>28</c:v>
                </c:pt>
                <c:pt idx="431">
                  <c:v>21</c:v>
                </c:pt>
                <c:pt idx="432">
                  <c:v>31</c:v>
                </c:pt>
                <c:pt idx="433">
                  <c:v>41</c:v>
                </c:pt>
                <c:pt idx="434">
                  <c:v>22</c:v>
                </c:pt>
                <c:pt idx="435">
                  <c:v>24</c:v>
                </c:pt>
                <c:pt idx="436">
                  <c:v>33</c:v>
                </c:pt>
                <c:pt idx="437">
                  <c:v>30</c:v>
                </c:pt>
                <c:pt idx="438">
                  <c:v>25</c:v>
                </c:pt>
                <c:pt idx="439">
                  <c:v>28</c:v>
                </c:pt>
                <c:pt idx="440">
                  <c:v>26</c:v>
                </c:pt>
                <c:pt idx="441">
                  <c:v>22</c:v>
                </c:pt>
                <c:pt idx="442">
                  <c:v>26</c:v>
                </c:pt>
                <c:pt idx="443">
                  <c:v>23</c:v>
                </c:pt>
                <c:pt idx="444">
                  <c:v>23</c:v>
                </c:pt>
                <c:pt idx="445">
                  <c:v>25</c:v>
                </c:pt>
                <c:pt idx="446">
                  <c:v>72</c:v>
                </c:pt>
                <c:pt idx="447">
                  <c:v>24</c:v>
                </c:pt>
                <c:pt idx="448">
                  <c:v>38</c:v>
                </c:pt>
                <c:pt idx="449">
                  <c:v>62</c:v>
                </c:pt>
                <c:pt idx="450">
                  <c:v>24</c:v>
                </c:pt>
                <c:pt idx="451">
                  <c:v>51</c:v>
                </c:pt>
                <c:pt idx="452">
                  <c:v>81</c:v>
                </c:pt>
                <c:pt idx="453">
                  <c:v>48</c:v>
                </c:pt>
                <c:pt idx="454">
                  <c:v>26</c:v>
                </c:pt>
                <c:pt idx="455">
                  <c:v>39</c:v>
                </c:pt>
                <c:pt idx="456">
                  <c:v>37</c:v>
                </c:pt>
                <c:pt idx="457">
                  <c:v>34</c:v>
                </c:pt>
                <c:pt idx="458">
                  <c:v>21</c:v>
                </c:pt>
                <c:pt idx="459">
                  <c:v>22</c:v>
                </c:pt>
                <c:pt idx="460">
                  <c:v>25</c:v>
                </c:pt>
                <c:pt idx="461">
                  <c:v>38</c:v>
                </c:pt>
                <c:pt idx="462">
                  <c:v>27</c:v>
                </c:pt>
                <c:pt idx="463">
                  <c:v>28</c:v>
                </c:pt>
                <c:pt idx="464">
                  <c:v>22</c:v>
                </c:pt>
                <c:pt idx="465">
                  <c:v>22</c:v>
                </c:pt>
                <c:pt idx="466">
                  <c:v>50</c:v>
                </c:pt>
                <c:pt idx="467">
                  <c:v>24</c:v>
                </c:pt>
                <c:pt idx="468">
                  <c:v>59</c:v>
                </c:pt>
                <c:pt idx="469">
                  <c:v>29</c:v>
                </c:pt>
                <c:pt idx="470">
                  <c:v>31</c:v>
                </c:pt>
                <c:pt idx="471">
                  <c:v>39</c:v>
                </c:pt>
                <c:pt idx="472">
                  <c:v>63</c:v>
                </c:pt>
                <c:pt idx="473">
                  <c:v>35</c:v>
                </c:pt>
                <c:pt idx="474">
                  <c:v>29</c:v>
                </c:pt>
                <c:pt idx="475">
                  <c:v>28</c:v>
                </c:pt>
                <c:pt idx="476">
                  <c:v>23</c:v>
                </c:pt>
                <c:pt idx="477">
                  <c:v>31</c:v>
                </c:pt>
                <c:pt idx="478">
                  <c:v>24</c:v>
                </c:pt>
                <c:pt idx="479">
                  <c:v>21</c:v>
                </c:pt>
                <c:pt idx="480">
                  <c:v>58</c:v>
                </c:pt>
                <c:pt idx="481">
                  <c:v>28</c:v>
                </c:pt>
                <c:pt idx="482">
                  <c:v>67</c:v>
                </c:pt>
                <c:pt idx="483">
                  <c:v>24</c:v>
                </c:pt>
                <c:pt idx="484">
                  <c:v>42</c:v>
                </c:pt>
                <c:pt idx="485">
                  <c:v>33</c:v>
                </c:pt>
                <c:pt idx="486">
                  <c:v>45</c:v>
                </c:pt>
                <c:pt idx="487">
                  <c:v>66</c:v>
                </c:pt>
                <c:pt idx="488">
                  <c:v>30</c:v>
                </c:pt>
                <c:pt idx="489">
                  <c:v>25</c:v>
                </c:pt>
                <c:pt idx="490">
                  <c:v>55</c:v>
                </c:pt>
                <c:pt idx="491">
                  <c:v>39</c:v>
                </c:pt>
                <c:pt idx="492">
                  <c:v>21</c:v>
                </c:pt>
                <c:pt idx="493">
                  <c:v>28</c:v>
                </c:pt>
                <c:pt idx="494">
                  <c:v>41</c:v>
                </c:pt>
                <c:pt idx="495">
                  <c:v>41</c:v>
                </c:pt>
                <c:pt idx="496">
                  <c:v>40</c:v>
                </c:pt>
                <c:pt idx="497">
                  <c:v>38</c:v>
                </c:pt>
                <c:pt idx="498">
                  <c:v>35</c:v>
                </c:pt>
                <c:pt idx="499">
                  <c:v>21</c:v>
                </c:pt>
                <c:pt idx="500">
                  <c:v>21</c:v>
                </c:pt>
                <c:pt idx="501">
                  <c:v>64</c:v>
                </c:pt>
                <c:pt idx="502">
                  <c:v>46</c:v>
                </c:pt>
                <c:pt idx="503">
                  <c:v>21</c:v>
                </c:pt>
                <c:pt idx="504">
                  <c:v>58</c:v>
                </c:pt>
                <c:pt idx="505">
                  <c:v>22</c:v>
                </c:pt>
                <c:pt idx="506">
                  <c:v>24</c:v>
                </c:pt>
                <c:pt idx="507">
                  <c:v>28</c:v>
                </c:pt>
                <c:pt idx="508">
                  <c:v>53</c:v>
                </c:pt>
                <c:pt idx="509">
                  <c:v>51</c:v>
                </c:pt>
                <c:pt idx="510">
                  <c:v>41</c:v>
                </c:pt>
                <c:pt idx="511">
                  <c:v>60</c:v>
                </c:pt>
                <c:pt idx="512">
                  <c:v>25</c:v>
                </c:pt>
                <c:pt idx="513">
                  <c:v>26</c:v>
                </c:pt>
                <c:pt idx="514">
                  <c:v>45</c:v>
                </c:pt>
                <c:pt idx="515">
                  <c:v>24</c:v>
                </c:pt>
                <c:pt idx="516">
                  <c:v>21</c:v>
                </c:pt>
                <c:pt idx="517">
                  <c:v>21</c:v>
                </c:pt>
                <c:pt idx="518">
                  <c:v>24</c:v>
                </c:pt>
                <c:pt idx="519">
                  <c:v>22</c:v>
                </c:pt>
                <c:pt idx="520">
                  <c:v>31</c:v>
                </c:pt>
                <c:pt idx="521">
                  <c:v>22</c:v>
                </c:pt>
                <c:pt idx="522">
                  <c:v>24</c:v>
                </c:pt>
                <c:pt idx="523">
                  <c:v>29</c:v>
                </c:pt>
                <c:pt idx="524">
                  <c:v>31</c:v>
                </c:pt>
                <c:pt idx="525">
                  <c:v>24</c:v>
                </c:pt>
                <c:pt idx="526">
                  <c:v>23</c:v>
                </c:pt>
                <c:pt idx="527">
                  <c:v>46</c:v>
                </c:pt>
                <c:pt idx="528">
                  <c:v>67</c:v>
                </c:pt>
                <c:pt idx="529">
                  <c:v>23</c:v>
                </c:pt>
                <c:pt idx="530">
                  <c:v>32</c:v>
                </c:pt>
                <c:pt idx="531">
                  <c:v>43</c:v>
                </c:pt>
                <c:pt idx="532">
                  <c:v>27</c:v>
                </c:pt>
                <c:pt idx="533">
                  <c:v>56</c:v>
                </c:pt>
                <c:pt idx="534">
                  <c:v>25</c:v>
                </c:pt>
                <c:pt idx="535">
                  <c:v>29</c:v>
                </c:pt>
                <c:pt idx="536">
                  <c:v>37</c:v>
                </c:pt>
                <c:pt idx="537">
                  <c:v>53</c:v>
                </c:pt>
                <c:pt idx="538">
                  <c:v>28</c:v>
                </c:pt>
                <c:pt idx="539">
                  <c:v>50</c:v>
                </c:pt>
                <c:pt idx="540">
                  <c:v>37</c:v>
                </c:pt>
                <c:pt idx="541">
                  <c:v>21</c:v>
                </c:pt>
                <c:pt idx="542">
                  <c:v>25</c:v>
                </c:pt>
                <c:pt idx="543">
                  <c:v>66</c:v>
                </c:pt>
                <c:pt idx="544">
                  <c:v>23</c:v>
                </c:pt>
                <c:pt idx="545">
                  <c:v>28</c:v>
                </c:pt>
                <c:pt idx="546">
                  <c:v>37</c:v>
                </c:pt>
                <c:pt idx="547">
                  <c:v>30</c:v>
                </c:pt>
                <c:pt idx="548">
                  <c:v>58</c:v>
                </c:pt>
                <c:pt idx="549">
                  <c:v>42</c:v>
                </c:pt>
                <c:pt idx="550">
                  <c:v>35</c:v>
                </c:pt>
                <c:pt idx="551">
                  <c:v>54</c:v>
                </c:pt>
                <c:pt idx="552">
                  <c:v>28</c:v>
                </c:pt>
                <c:pt idx="553">
                  <c:v>24</c:v>
                </c:pt>
                <c:pt idx="554">
                  <c:v>32</c:v>
                </c:pt>
                <c:pt idx="555">
                  <c:v>27</c:v>
                </c:pt>
                <c:pt idx="556">
                  <c:v>22</c:v>
                </c:pt>
                <c:pt idx="557">
                  <c:v>21</c:v>
                </c:pt>
                <c:pt idx="558">
                  <c:v>46</c:v>
                </c:pt>
                <c:pt idx="559">
                  <c:v>37</c:v>
                </c:pt>
                <c:pt idx="560">
                  <c:v>33</c:v>
                </c:pt>
                <c:pt idx="561">
                  <c:v>39</c:v>
                </c:pt>
                <c:pt idx="562">
                  <c:v>21</c:v>
                </c:pt>
                <c:pt idx="563">
                  <c:v>22</c:v>
                </c:pt>
                <c:pt idx="564">
                  <c:v>22</c:v>
                </c:pt>
                <c:pt idx="565">
                  <c:v>23</c:v>
                </c:pt>
                <c:pt idx="566">
                  <c:v>25</c:v>
                </c:pt>
                <c:pt idx="567">
                  <c:v>35</c:v>
                </c:pt>
                <c:pt idx="568">
                  <c:v>21</c:v>
                </c:pt>
                <c:pt idx="569">
                  <c:v>36</c:v>
                </c:pt>
                <c:pt idx="570">
                  <c:v>62</c:v>
                </c:pt>
                <c:pt idx="571">
                  <c:v>21</c:v>
                </c:pt>
                <c:pt idx="572">
                  <c:v>27</c:v>
                </c:pt>
                <c:pt idx="573">
                  <c:v>62</c:v>
                </c:pt>
                <c:pt idx="574">
                  <c:v>42</c:v>
                </c:pt>
                <c:pt idx="575">
                  <c:v>52</c:v>
                </c:pt>
                <c:pt idx="576">
                  <c:v>22</c:v>
                </c:pt>
                <c:pt idx="577">
                  <c:v>41</c:v>
                </c:pt>
                <c:pt idx="578">
                  <c:v>29</c:v>
                </c:pt>
                <c:pt idx="579">
                  <c:v>52</c:v>
                </c:pt>
                <c:pt idx="580">
                  <c:v>25</c:v>
                </c:pt>
                <c:pt idx="581">
                  <c:v>45</c:v>
                </c:pt>
                <c:pt idx="582">
                  <c:v>24</c:v>
                </c:pt>
                <c:pt idx="583">
                  <c:v>44</c:v>
                </c:pt>
                <c:pt idx="584">
                  <c:v>25</c:v>
                </c:pt>
                <c:pt idx="585">
                  <c:v>34</c:v>
                </c:pt>
                <c:pt idx="586">
                  <c:v>22</c:v>
                </c:pt>
                <c:pt idx="587">
                  <c:v>46</c:v>
                </c:pt>
                <c:pt idx="588">
                  <c:v>21</c:v>
                </c:pt>
                <c:pt idx="589">
                  <c:v>38</c:v>
                </c:pt>
                <c:pt idx="590">
                  <c:v>26</c:v>
                </c:pt>
                <c:pt idx="591">
                  <c:v>24</c:v>
                </c:pt>
                <c:pt idx="592">
                  <c:v>28</c:v>
                </c:pt>
                <c:pt idx="593">
                  <c:v>30</c:v>
                </c:pt>
                <c:pt idx="594">
                  <c:v>54</c:v>
                </c:pt>
                <c:pt idx="595">
                  <c:v>36</c:v>
                </c:pt>
                <c:pt idx="596">
                  <c:v>21</c:v>
                </c:pt>
                <c:pt idx="597">
                  <c:v>22</c:v>
                </c:pt>
                <c:pt idx="598">
                  <c:v>25</c:v>
                </c:pt>
                <c:pt idx="599">
                  <c:v>27</c:v>
                </c:pt>
                <c:pt idx="600">
                  <c:v>23</c:v>
                </c:pt>
                <c:pt idx="601">
                  <c:v>24</c:v>
                </c:pt>
                <c:pt idx="602">
                  <c:v>36</c:v>
                </c:pt>
                <c:pt idx="603">
                  <c:v>40</c:v>
                </c:pt>
                <c:pt idx="604">
                  <c:v>26</c:v>
                </c:pt>
                <c:pt idx="605">
                  <c:v>50</c:v>
                </c:pt>
                <c:pt idx="606">
                  <c:v>27</c:v>
                </c:pt>
                <c:pt idx="607">
                  <c:v>30</c:v>
                </c:pt>
                <c:pt idx="608">
                  <c:v>23</c:v>
                </c:pt>
                <c:pt idx="609">
                  <c:v>50</c:v>
                </c:pt>
                <c:pt idx="610">
                  <c:v>24</c:v>
                </c:pt>
                <c:pt idx="611">
                  <c:v>28</c:v>
                </c:pt>
                <c:pt idx="612">
                  <c:v>28</c:v>
                </c:pt>
                <c:pt idx="613">
                  <c:v>45</c:v>
                </c:pt>
                <c:pt idx="614">
                  <c:v>21</c:v>
                </c:pt>
                <c:pt idx="615">
                  <c:v>21</c:v>
                </c:pt>
                <c:pt idx="616">
                  <c:v>29</c:v>
                </c:pt>
                <c:pt idx="617">
                  <c:v>21</c:v>
                </c:pt>
                <c:pt idx="618">
                  <c:v>21</c:v>
                </c:pt>
                <c:pt idx="619">
                  <c:v>45</c:v>
                </c:pt>
                <c:pt idx="620">
                  <c:v>21</c:v>
                </c:pt>
                <c:pt idx="621">
                  <c:v>34</c:v>
                </c:pt>
                <c:pt idx="622">
                  <c:v>24</c:v>
                </c:pt>
                <c:pt idx="623">
                  <c:v>23</c:v>
                </c:pt>
                <c:pt idx="624">
                  <c:v>22</c:v>
                </c:pt>
                <c:pt idx="625">
                  <c:v>31</c:v>
                </c:pt>
                <c:pt idx="626">
                  <c:v>38</c:v>
                </c:pt>
                <c:pt idx="627">
                  <c:v>48</c:v>
                </c:pt>
                <c:pt idx="628">
                  <c:v>23</c:v>
                </c:pt>
                <c:pt idx="629">
                  <c:v>32</c:v>
                </c:pt>
                <c:pt idx="630">
                  <c:v>28</c:v>
                </c:pt>
                <c:pt idx="631">
                  <c:v>27</c:v>
                </c:pt>
                <c:pt idx="632">
                  <c:v>24</c:v>
                </c:pt>
                <c:pt idx="633">
                  <c:v>50</c:v>
                </c:pt>
                <c:pt idx="634">
                  <c:v>31</c:v>
                </c:pt>
                <c:pt idx="635">
                  <c:v>27</c:v>
                </c:pt>
                <c:pt idx="636">
                  <c:v>30</c:v>
                </c:pt>
                <c:pt idx="637">
                  <c:v>33</c:v>
                </c:pt>
                <c:pt idx="638">
                  <c:v>22</c:v>
                </c:pt>
                <c:pt idx="639">
                  <c:v>42</c:v>
                </c:pt>
                <c:pt idx="640">
                  <c:v>23</c:v>
                </c:pt>
                <c:pt idx="641">
                  <c:v>23</c:v>
                </c:pt>
                <c:pt idx="642">
                  <c:v>27</c:v>
                </c:pt>
                <c:pt idx="643">
                  <c:v>28</c:v>
                </c:pt>
                <c:pt idx="644">
                  <c:v>27</c:v>
                </c:pt>
                <c:pt idx="645">
                  <c:v>22</c:v>
                </c:pt>
                <c:pt idx="646">
                  <c:v>25</c:v>
                </c:pt>
                <c:pt idx="647">
                  <c:v>22</c:v>
                </c:pt>
                <c:pt idx="648">
                  <c:v>41</c:v>
                </c:pt>
                <c:pt idx="649">
                  <c:v>51</c:v>
                </c:pt>
                <c:pt idx="650">
                  <c:v>27</c:v>
                </c:pt>
                <c:pt idx="651">
                  <c:v>54</c:v>
                </c:pt>
                <c:pt idx="652">
                  <c:v>22</c:v>
                </c:pt>
                <c:pt idx="653">
                  <c:v>43</c:v>
                </c:pt>
                <c:pt idx="654">
                  <c:v>40</c:v>
                </c:pt>
                <c:pt idx="655">
                  <c:v>40</c:v>
                </c:pt>
                <c:pt idx="656">
                  <c:v>24</c:v>
                </c:pt>
                <c:pt idx="657">
                  <c:v>70</c:v>
                </c:pt>
                <c:pt idx="658">
                  <c:v>40</c:v>
                </c:pt>
                <c:pt idx="659">
                  <c:v>43</c:v>
                </c:pt>
                <c:pt idx="660">
                  <c:v>45</c:v>
                </c:pt>
                <c:pt idx="661">
                  <c:v>49</c:v>
                </c:pt>
                <c:pt idx="662">
                  <c:v>21</c:v>
                </c:pt>
                <c:pt idx="663">
                  <c:v>47</c:v>
                </c:pt>
                <c:pt idx="664">
                  <c:v>22</c:v>
                </c:pt>
                <c:pt idx="665">
                  <c:v>68</c:v>
                </c:pt>
                <c:pt idx="666">
                  <c:v>31</c:v>
                </c:pt>
                <c:pt idx="667">
                  <c:v>53</c:v>
                </c:pt>
                <c:pt idx="668">
                  <c:v>25</c:v>
                </c:pt>
                <c:pt idx="669">
                  <c:v>25</c:v>
                </c:pt>
                <c:pt idx="670">
                  <c:v>23</c:v>
                </c:pt>
                <c:pt idx="671">
                  <c:v>22</c:v>
                </c:pt>
                <c:pt idx="672">
                  <c:v>26</c:v>
                </c:pt>
                <c:pt idx="673">
                  <c:v>22</c:v>
                </c:pt>
                <c:pt idx="674">
                  <c:v>27</c:v>
                </c:pt>
                <c:pt idx="675">
                  <c:v>25</c:v>
                </c:pt>
                <c:pt idx="676">
                  <c:v>22</c:v>
                </c:pt>
                <c:pt idx="677">
                  <c:v>29</c:v>
                </c:pt>
                <c:pt idx="678">
                  <c:v>23</c:v>
                </c:pt>
                <c:pt idx="679">
                  <c:v>46</c:v>
                </c:pt>
                <c:pt idx="680">
                  <c:v>34</c:v>
                </c:pt>
                <c:pt idx="681">
                  <c:v>44</c:v>
                </c:pt>
                <c:pt idx="682">
                  <c:v>23</c:v>
                </c:pt>
                <c:pt idx="683">
                  <c:v>43</c:v>
                </c:pt>
                <c:pt idx="684">
                  <c:v>25</c:v>
                </c:pt>
                <c:pt idx="685">
                  <c:v>43</c:v>
                </c:pt>
                <c:pt idx="686">
                  <c:v>31</c:v>
                </c:pt>
                <c:pt idx="687">
                  <c:v>22</c:v>
                </c:pt>
                <c:pt idx="688">
                  <c:v>28</c:v>
                </c:pt>
                <c:pt idx="689">
                  <c:v>26</c:v>
                </c:pt>
                <c:pt idx="690">
                  <c:v>26</c:v>
                </c:pt>
                <c:pt idx="691">
                  <c:v>49</c:v>
                </c:pt>
                <c:pt idx="692">
                  <c:v>52</c:v>
                </c:pt>
                <c:pt idx="693">
                  <c:v>41</c:v>
                </c:pt>
                <c:pt idx="694">
                  <c:v>27</c:v>
                </c:pt>
                <c:pt idx="695">
                  <c:v>28</c:v>
                </c:pt>
                <c:pt idx="696">
                  <c:v>22</c:v>
                </c:pt>
                <c:pt idx="697">
                  <c:v>45</c:v>
                </c:pt>
                <c:pt idx="698">
                  <c:v>23</c:v>
                </c:pt>
                <c:pt idx="699">
                  <c:v>24</c:v>
                </c:pt>
                <c:pt idx="700">
                  <c:v>40</c:v>
                </c:pt>
                <c:pt idx="701">
                  <c:v>38</c:v>
                </c:pt>
                <c:pt idx="702">
                  <c:v>21</c:v>
                </c:pt>
                <c:pt idx="703">
                  <c:v>32</c:v>
                </c:pt>
                <c:pt idx="704">
                  <c:v>34</c:v>
                </c:pt>
                <c:pt idx="705">
                  <c:v>31</c:v>
                </c:pt>
                <c:pt idx="706">
                  <c:v>56</c:v>
                </c:pt>
                <c:pt idx="707">
                  <c:v>24</c:v>
                </c:pt>
                <c:pt idx="708">
                  <c:v>52</c:v>
                </c:pt>
                <c:pt idx="709">
                  <c:v>34</c:v>
                </c:pt>
                <c:pt idx="710">
                  <c:v>21</c:v>
                </c:pt>
                <c:pt idx="711">
                  <c:v>42</c:v>
                </c:pt>
                <c:pt idx="712">
                  <c:v>42</c:v>
                </c:pt>
                <c:pt idx="713">
                  <c:v>45</c:v>
                </c:pt>
                <c:pt idx="714">
                  <c:v>38</c:v>
                </c:pt>
                <c:pt idx="715">
                  <c:v>25</c:v>
                </c:pt>
                <c:pt idx="716">
                  <c:v>22</c:v>
                </c:pt>
                <c:pt idx="717">
                  <c:v>22</c:v>
                </c:pt>
                <c:pt idx="718">
                  <c:v>22</c:v>
                </c:pt>
                <c:pt idx="719">
                  <c:v>34</c:v>
                </c:pt>
                <c:pt idx="720">
                  <c:v>22</c:v>
                </c:pt>
                <c:pt idx="721">
                  <c:v>24</c:v>
                </c:pt>
                <c:pt idx="722">
                  <c:v>22</c:v>
                </c:pt>
                <c:pt idx="723">
                  <c:v>53</c:v>
                </c:pt>
                <c:pt idx="724">
                  <c:v>28</c:v>
                </c:pt>
                <c:pt idx="725">
                  <c:v>21</c:v>
                </c:pt>
                <c:pt idx="726">
                  <c:v>42</c:v>
                </c:pt>
                <c:pt idx="727">
                  <c:v>21</c:v>
                </c:pt>
                <c:pt idx="728">
                  <c:v>42</c:v>
                </c:pt>
                <c:pt idx="729">
                  <c:v>48</c:v>
                </c:pt>
                <c:pt idx="730">
                  <c:v>26</c:v>
                </c:pt>
                <c:pt idx="731">
                  <c:v>22</c:v>
                </c:pt>
                <c:pt idx="732">
                  <c:v>45</c:v>
                </c:pt>
                <c:pt idx="733">
                  <c:v>39</c:v>
                </c:pt>
                <c:pt idx="734">
                  <c:v>46</c:v>
                </c:pt>
                <c:pt idx="735">
                  <c:v>27</c:v>
                </c:pt>
                <c:pt idx="736">
                  <c:v>32</c:v>
                </c:pt>
                <c:pt idx="737">
                  <c:v>36</c:v>
                </c:pt>
                <c:pt idx="738">
                  <c:v>50</c:v>
                </c:pt>
                <c:pt idx="739">
                  <c:v>22</c:v>
                </c:pt>
                <c:pt idx="740">
                  <c:v>28</c:v>
                </c:pt>
                <c:pt idx="741">
                  <c:v>25</c:v>
                </c:pt>
                <c:pt idx="742">
                  <c:v>26</c:v>
                </c:pt>
                <c:pt idx="743">
                  <c:v>45</c:v>
                </c:pt>
                <c:pt idx="744">
                  <c:v>37</c:v>
                </c:pt>
                <c:pt idx="745">
                  <c:v>39</c:v>
                </c:pt>
                <c:pt idx="746">
                  <c:v>52</c:v>
                </c:pt>
                <c:pt idx="747">
                  <c:v>26</c:v>
                </c:pt>
                <c:pt idx="748">
                  <c:v>66</c:v>
                </c:pt>
                <c:pt idx="749">
                  <c:v>22</c:v>
                </c:pt>
                <c:pt idx="750">
                  <c:v>43</c:v>
                </c:pt>
                <c:pt idx="751">
                  <c:v>33</c:v>
                </c:pt>
                <c:pt idx="752">
                  <c:v>63</c:v>
                </c:pt>
                <c:pt idx="753">
                  <c:v>27</c:v>
                </c:pt>
                <c:pt idx="754">
                  <c:v>30</c:v>
                </c:pt>
                <c:pt idx="755">
                  <c:v>47</c:v>
                </c:pt>
                <c:pt idx="756">
                  <c:v>23</c:v>
                </c:pt>
              </c:numCache>
            </c:numRef>
          </c:xVal>
          <c:yVal>
            <c:numRef>
              <c:f>Part1_Diabetes!$F$2:$F$769</c:f>
              <c:numCache>
                <c:formatCode>General</c:formatCode>
                <c:ptCount val="757"/>
                <c:pt idx="0">
                  <c:v>33.6</c:v>
                </c:pt>
                <c:pt idx="1">
                  <c:v>26.6</c:v>
                </c:pt>
                <c:pt idx="2">
                  <c:v>23.3</c:v>
                </c:pt>
                <c:pt idx="3">
                  <c:v>28.1</c:v>
                </c:pt>
                <c:pt idx="4">
                  <c:v>43.1</c:v>
                </c:pt>
                <c:pt idx="5">
                  <c:v>25.6</c:v>
                </c:pt>
                <c:pt idx="6">
                  <c:v>31</c:v>
                </c:pt>
                <c:pt idx="7">
                  <c:v>35.299999999999997</c:v>
                </c:pt>
                <c:pt idx="8">
                  <c:v>30.5</c:v>
                </c:pt>
                <c:pt idx="9">
                  <c:v>37.6</c:v>
                </c:pt>
                <c:pt idx="10">
                  <c:v>38</c:v>
                </c:pt>
                <c:pt idx="11">
                  <c:v>27.1</c:v>
                </c:pt>
                <c:pt idx="12">
                  <c:v>30.1</c:v>
                </c:pt>
                <c:pt idx="13">
                  <c:v>25.8</c:v>
                </c:pt>
                <c:pt idx="14">
                  <c:v>30</c:v>
                </c:pt>
                <c:pt idx="15">
                  <c:v>45.8</c:v>
                </c:pt>
                <c:pt idx="16">
                  <c:v>29.6</c:v>
                </c:pt>
                <c:pt idx="17">
                  <c:v>43.3</c:v>
                </c:pt>
                <c:pt idx="18">
                  <c:v>34.6</c:v>
                </c:pt>
                <c:pt idx="19">
                  <c:v>39.299999999999997</c:v>
                </c:pt>
                <c:pt idx="20">
                  <c:v>35.4</c:v>
                </c:pt>
                <c:pt idx="21">
                  <c:v>39.799999999999997</c:v>
                </c:pt>
                <c:pt idx="22">
                  <c:v>29</c:v>
                </c:pt>
                <c:pt idx="23">
                  <c:v>36.6</c:v>
                </c:pt>
                <c:pt idx="24">
                  <c:v>31.1</c:v>
                </c:pt>
                <c:pt idx="25">
                  <c:v>39.4</c:v>
                </c:pt>
                <c:pt idx="26">
                  <c:v>23.2</c:v>
                </c:pt>
                <c:pt idx="27">
                  <c:v>22.2</c:v>
                </c:pt>
                <c:pt idx="28">
                  <c:v>34.1</c:v>
                </c:pt>
                <c:pt idx="29">
                  <c:v>36</c:v>
                </c:pt>
                <c:pt idx="30">
                  <c:v>31.6</c:v>
                </c:pt>
                <c:pt idx="31">
                  <c:v>24.8</c:v>
                </c:pt>
                <c:pt idx="32">
                  <c:v>19.899999999999999</c:v>
                </c:pt>
                <c:pt idx="33">
                  <c:v>27.6</c:v>
                </c:pt>
                <c:pt idx="34">
                  <c:v>24</c:v>
                </c:pt>
                <c:pt idx="35">
                  <c:v>33.200000000000003</c:v>
                </c:pt>
                <c:pt idx="36">
                  <c:v>32.9</c:v>
                </c:pt>
                <c:pt idx="37">
                  <c:v>38.200000000000003</c:v>
                </c:pt>
                <c:pt idx="38">
                  <c:v>37.1</c:v>
                </c:pt>
                <c:pt idx="39">
                  <c:v>34</c:v>
                </c:pt>
                <c:pt idx="40">
                  <c:v>40.200000000000003</c:v>
                </c:pt>
                <c:pt idx="41">
                  <c:v>22.7</c:v>
                </c:pt>
                <c:pt idx="42">
                  <c:v>45.4</c:v>
                </c:pt>
                <c:pt idx="43">
                  <c:v>27.4</c:v>
                </c:pt>
                <c:pt idx="44">
                  <c:v>42</c:v>
                </c:pt>
                <c:pt idx="45">
                  <c:v>29.7</c:v>
                </c:pt>
                <c:pt idx="46">
                  <c:v>28</c:v>
                </c:pt>
                <c:pt idx="47">
                  <c:v>39.1</c:v>
                </c:pt>
                <c:pt idx="48">
                  <c:v>19.399999999999999</c:v>
                </c:pt>
                <c:pt idx="49">
                  <c:v>24.2</c:v>
                </c:pt>
                <c:pt idx="50">
                  <c:v>24.4</c:v>
                </c:pt>
                <c:pt idx="51">
                  <c:v>33.700000000000003</c:v>
                </c:pt>
                <c:pt idx="52">
                  <c:v>34.700000000000003</c:v>
                </c:pt>
                <c:pt idx="53">
                  <c:v>23</c:v>
                </c:pt>
                <c:pt idx="54">
                  <c:v>37.700000000000003</c:v>
                </c:pt>
                <c:pt idx="55">
                  <c:v>46.8</c:v>
                </c:pt>
                <c:pt idx="56">
                  <c:v>40.5</c:v>
                </c:pt>
                <c:pt idx="57">
                  <c:v>41.5</c:v>
                </c:pt>
                <c:pt idx="58">
                  <c:v>32.9</c:v>
                </c:pt>
                <c:pt idx="59">
                  <c:v>25</c:v>
                </c:pt>
                <c:pt idx="60">
                  <c:v>25.4</c:v>
                </c:pt>
                <c:pt idx="61">
                  <c:v>32.799999999999997</c:v>
                </c:pt>
                <c:pt idx="62">
                  <c:v>29</c:v>
                </c:pt>
                <c:pt idx="63">
                  <c:v>32.5</c:v>
                </c:pt>
                <c:pt idx="64">
                  <c:v>42.7</c:v>
                </c:pt>
                <c:pt idx="65">
                  <c:v>19.600000000000001</c:v>
                </c:pt>
                <c:pt idx="66">
                  <c:v>28.9</c:v>
                </c:pt>
                <c:pt idx="67">
                  <c:v>32.9</c:v>
                </c:pt>
                <c:pt idx="68">
                  <c:v>28.6</c:v>
                </c:pt>
                <c:pt idx="69">
                  <c:v>43.4</c:v>
                </c:pt>
                <c:pt idx="70">
                  <c:v>35.1</c:v>
                </c:pt>
                <c:pt idx="71">
                  <c:v>32</c:v>
                </c:pt>
                <c:pt idx="72">
                  <c:v>24.7</c:v>
                </c:pt>
                <c:pt idx="73">
                  <c:v>32.6</c:v>
                </c:pt>
                <c:pt idx="74">
                  <c:v>37.700000000000003</c:v>
                </c:pt>
                <c:pt idx="75">
                  <c:v>43.2</c:v>
                </c:pt>
                <c:pt idx="76">
                  <c:v>25</c:v>
                </c:pt>
                <c:pt idx="77">
                  <c:v>22.4</c:v>
                </c:pt>
                <c:pt idx="78">
                  <c:v>29.3</c:v>
                </c:pt>
                <c:pt idx="79">
                  <c:v>24.6</c:v>
                </c:pt>
                <c:pt idx="80">
                  <c:v>48.8</c:v>
                </c:pt>
                <c:pt idx="81">
                  <c:v>32.4</c:v>
                </c:pt>
                <c:pt idx="82">
                  <c:v>36.6</c:v>
                </c:pt>
                <c:pt idx="83">
                  <c:v>38.5</c:v>
                </c:pt>
                <c:pt idx="84">
                  <c:v>37.1</c:v>
                </c:pt>
                <c:pt idx="85">
                  <c:v>26.5</c:v>
                </c:pt>
                <c:pt idx="86">
                  <c:v>19.100000000000001</c:v>
                </c:pt>
                <c:pt idx="87">
                  <c:v>32</c:v>
                </c:pt>
                <c:pt idx="88">
                  <c:v>46.7</c:v>
                </c:pt>
                <c:pt idx="89">
                  <c:v>23.8</c:v>
                </c:pt>
                <c:pt idx="90">
                  <c:v>24.7</c:v>
                </c:pt>
                <c:pt idx="91">
                  <c:v>33.9</c:v>
                </c:pt>
                <c:pt idx="92">
                  <c:v>31.6</c:v>
                </c:pt>
                <c:pt idx="93">
                  <c:v>20.399999999999999</c:v>
                </c:pt>
                <c:pt idx="94">
                  <c:v>28.7</c:v>
                </c:pt>
                <c:pt idx="95">
                  <c:v>49.7</c:v>
                </c:pt>
                <c:pt idx="96">
                  <c:v>39</c:v>
                </c:pt>
                <c:pt idx="97">
                  <c:v>26.1</c:v>
                </c:pt>
                <c:pt idx="98">
                  <c:v>22.5</c:v>
                </c:pt>
                <c:pt idx="99">
                  <c:v>26.6</c:v>
                </c:pt>
                <c:pt idx="100">
                  <c:v>39.6</c:v>
                </c:pt>
                <c:pt idx="101">
                  <c:v>28.7</c:v>
                </c:pt>
                <c:pt idx="102">
                  <c:v>22.4</c:v>
                </c:pt>
                <c:pt idx="103">
                  <c:v>29.5</c:v>
                </c:pt>
                <c:pt idx="104">
                  <c:v>34.299999999999997</c:v>
                </c:pt>
                <c:pt idx="105">
                  <c:v>37.4</c:v>
                </c:pt>
                <c:pt idx="106">
                  <c:v>33.299999999999997</c:v>
                </c:pt>
                <c:pt idx="107">
                  <c:v>34</c:v>
                </c:pt>
                <c:pt idx="108">
                  <c:v>31.2</c:v>
                </c:pt>
                <c:pt idx="109">
                  <c:v>34</c:v>
                </c:pt>
                <c:pt idx="110">
                  <c:v>30.5</c:v>
                </c:pt>
                <c:pt idx="111">
                  <c:v>31.2</c:v>
                </c:pt>
                <c:pt idx="112">
                  <c:v>34</c:v>
                </c:pt>
                <c:pt idx="113">
                  <c:v>33.700000000000003</c:v>
                </c:pt>
                <c:pt idx="114">
                  <c:v>28.2</c:v>
                </c:pt>
                <c:pt idx="115">
                  <c:v>23.2</c:v>
                </c:pt>
                <c:pt idx="116">
                  <c:v>53.2</c:v>
                </c:pt>
                <c:pt idx="117">
                  <c:v>34.200000000000003</c:v>
                </c:pt>
                <c:pt idx="118">
                  <c:v>33.6</c:v>
                </c:pt>
                <c:pt idx="119">
                  <c:v>26.8</c:v>
                </c:pt>
                <c:pt idx="120">
                  <c:v>33.299999999999997</c:v>
                </c:pt>
                <c:pt idx="121">
                  <c:v>55</c:v>
                </c:pt>
                <c:pt idx="122">
                  <c:v>42.9</c:v>
                </c:pt>
                <c:pt idx="123">
                  <c:v>33.299999999999997</c:v>
                </c:pt>
                <c:pt idx="124">
                  <c:v>34.5</c:v>
                </c:pt>
                <c:pt idx="125">
                  <c:v>27.9</c:v>
                </c:pt>
                <c:pt idx="126">
                  <c:v>29.7</c:v>
                </c:pt>
                <c:pt idx="127">
                  <c:v>33.299999999999997</c:v>
                </c:pt>
                <c:pt idx="128">
                  <c:v>34.5</c:v>
                </c:pt>
                <c:pt idx="129">
                  <c:v>38.299999999999997</c:v>
                </c:pt>
                <c:pt idx="130">
                  <c:v>21.1</c:v>
                </c:pt>
                <c:pt idx="131">
                  <c:v>33.799999999999997</c:v>
                </c:pt>
                <c:pt idx="132">
                  <c:v>30.8</c:v>
                </c:pt>
                <c:pt idx="133">
                  <c:v>28.7</c:v>
                </c:pt>
                <c:pt idx="134">
                  <c:v>31.2</c:v>
                </c:pt>
                <c:pt idx="135">
                  <c:v>36.9</c:v>
                </c:pt>
                <c:pt idx="136">
                  <c:v>21.1</c:v>
                </c:pt>
                <c:pt idx="137">
                  <c:v>39.5</c:v>
                </c:pt>
                <c:pt idx="138">
                  <c:v>32.5</c:v>
                </c:pt>
                <c:pt idx="139">
                  <c:v>32.4</c:v>
                </c:pt>
                <c:pt idx="140">
                  <c:v>32.799999999999997</c:v>
                </c:pt>
                <c:pt idx="141">
                  <c:v>32.799999999999997</c:v>
                </c:pt>
                <c:pt idx="142">
                  <c:v>30.5</c:v>
                </c:pt>
                <c:pt idx="143">
                  <c:v>33.700000000000003</c:v>
                </c:pt>
                <c:pt idx="144">
                  <c:v>27.3</c:v>
                </c:pt>
                <c:pt idx="145">
                  <c:v>37.4</c:v>
                </c:pt>
                <c:pt idx="146">
                  <c:v>21.9</c:v>
                </c:pt>
                <c:pt idx="147">
                  <c:v>34.299999999999997</c:v>
                </c:pt>
                <c:pt idx="148">
                  <c:v>40.6</c:v>
                </c:pt>
                <c:pt idx="149">
                  <c:v>47.9</c:v>
                </c:pt>
                <c:pt idx="150">
                  <c:v>50</c:v>
                </c:pt>
                <c:pt idx="151">
                  <c:v>24.6</c:v>
                </c:pt>
                <c:pt idx="152">
                  <c:v>25.2</c:v>
                </c:pt>
                <c:pt idx="153">
                  <c:v>29</c:v>
                </c:pt>
                <c:pt idx="154">
                  <c:v>40.9</c:v>
                </c:pt>
                <c:pt idx="155">
                  <c:v>29.7</c:v>
                </c:pt>
                <c:pt idx="156">
                  <c:v>37.200000000000003</c:v>
                </c:pt>
                <c:pt idx="157">
                  <c:v>44.2</c:v>
                </c:pt>
                <c:pt idx="158">
                  <c:v>29.7</c:v>
                </c:pt>
                <c:pt idx="159">
                  <c:v>31.6</c:v>
                </c:pt>
                <c:pt idx="160">
                  <c:v>29.9</c:v>
                </c:pt>
                <c:pt idx="161">
                  <c:v>32.5</c:v>
                </c:pt>
                <c:pt idx="162">
                  <c:v>29.6</c:v>
                </c:pt>
                <c:pt idx="163">
                  <c:v>31.9</c:v>
                </c:pt>
                <c:pt idx="164">
                  <c:v>28.4</c:v>
                </c:pt>
                <c:pt idx="165">
                  <c:v>30.8</c:v>
                </c:pt>
                <c:pt idx="166">
                  <c:v>35.4</c:v>
                </c:pt>
                <c:pt idx="167">
                  <c:v>28.9</c:v>
                </c:pt>
                <c:pt idx="168">
                  <c:v>43.5</c:v>
                </c:pt>
                <c:pt idx="169">
                  <c:v>29.7</c:v>
                </c:pt>
                <c:pt idx="170">
                  <c:v>32.700000000000003</c:v>
                </c:pt>
                <c:pt idx="171">
                  <c:v>31.2</c:v>
                </c:pt>
                <c:pt idx="172">
                  <c:v>67.099999999999994</c:v>
                </c:pt>
                <c:pt idx="173">
                  <c:v>45</c:v>
                </c:pt>
                <c:pt idx="174">
                  <c:v>39.1</c:v>
                </c:pt>
                <c:pt idx="175">
                  <c:v>23.2</c:v>
                </c:pt>
                <c:pt idx="176">
                  <c:v>34.9</c:v>
                </c:pt>
                <c:pt idx="177">
                  <c:v>27.7</c:v>
                </c:pt>
                <c:pt idx="178">
                  <c:v>26.8</c:v>
                </c:pt>
                <c:pt idx="179">
                  <c:v>27.6</c:v>
                </c:pt>
                <c:pt idx="180">
                  <c:v>35.9</c:v>
                </c:pt>
                <c:pt idx="181">
                  <c:v>30.1</c:v>
                </c:pt>
                <c:pt idx="182">
                  <c:v>32</c:v>
                </c:pt>
                <c:pt idx="183">
                  <c:v>27.9</c:v>
                </c:pt>
                <c:pt idx="184">
                  <c:v>31.6</c:v>
                </c:pt>
                <c:pt idx="185">
                  <c:v>22.6</c:v>
                </c:pt>
                <c:pt idx="186">
                  <c:v>33.1</c:v>
                </c:pt>
                <c:pt idx="187">
                  <c:v>30.4</c:v>
                </c:pt>
                <c:pt idx="188">
                  <c:v>52.3</c:v>
                </c:pt>
                <c:pt idx="189">
                  <c:v>24.4</c:v>
                </c:pt>
                <c:pt idx="190">
                  <c:v>39.4</c:v>
                </c:pt>
                <c:pt idx="191">
                  <c:v>24.3</c:v>
                </c:pt>
                <c:pt idx="192">
                  <c:v>22.9</c:v>
                </c:pt>
                <c:pt idx="193">
                  <c:v>34.799999999999997</c:v>
                </c:pt>
                <c:pt idx="194">
                  <c:v>30.9</c:v>
                </c:pt>
                <c:pt idx="195">
                  <c:v>31</c:v>
                </c:pt>
                <c:pt idx="196">
                  <c:v>40.1</c:v>
                </c:pt>
                <c:pt idx="197">
                  <c:v>27.3</c:v>
                </c:pt>
                <c:pt idx="198">
                  <c:v>20.399999999999999</c:v>
                </c:pt>
                <c:pt idx="199">
                  <c:v>37.700000000000003</c:v>
                </c:pt>
                <c:pt idx="200">
                  <c:v>23.9</c:v>
                </c:pt>
                <c:pt idx="201">
                  <c:v>37.5</c:v>
                </c:pt>
                <c:pt idx="202">
                  <c:v>37.700000000000003</c:v>
                </c:pt>
                <c:pt idx="203">
                  <c:v>33.200000000000003</c:v>
                </c:pt>
                <c:pt idx="204">
                  <c:v>35.5</c:v>
                </c:pt>
                <c:pt idx="205">
                  <c:v>27.7</c:v>
                </c:pt>
                <c:pt idx="206">
                  <c:v>42.8</c:v>
                </c:pt>
                <c:pt idx="207">
                  <c:v>34.200000000000003</c:v>
                </c:pt>
                <c:pt idx="208">
                  <c:v>42.6</c:v>
                </c:pt>
                <c:pt idx="209">
                  <c:v>34.200000000000003</c:v>
                </c:pt>
                <c:pt idx="210">
                  <c:v>41.8</c:v>
                </c:pt>
                <c:pt idx="211">
                  <c:v>35.799999999999997</c:v>
                </c:pt>
                <c:pt idx="212">
                  <c:v>30</c:v>
                </c:pt>
                <c:pt idx="213">
                  <c:v>29</c:v>
                </c:pt>
                <c:pt idx="214">
                  <c:v>37.799999999999997</c:v>
                </c:pt>
                <c:pt idx="215">
                  <c:v>34.6</c:v>
                </c:pt>
                <c:pt idx="216">
                  <c:v>31.6</c:v>
                </c:pt>
                <c:pt idx="217">
                  <c:v>25.2</c:v>
                </c:pt>
                <c:pt idx="218">
                  <c:v>28.8</c:v>
                </c:pt>
                <c:pt idx="219">
                  <c:v>23.6</c:v>
                </c:pt>
                <c:pt idx="220">
                  <c:v>34.6</c:v>
                </c:pt>
                <c:pt idx="221">
                  <c:v>35.700000000000003</c:v>
                </c:pt>
                <c:pt idx="222">
                  <c:v>37.200000000000003</c:v>
                </c:pt>
                <c:pt idx="223">
                  <c:v>36.700000000000003</c:v>
                </c:pt>
                <c:pt idx="224">
                  <c:v>45.2</c:v>
                </c:pt>
                <c:pt idx="225">
                  <c:v>44</c:v>
                </c:pt>
                <c:pt idx="226">
                  <c:v>46.2</c:v>
                </c:pt>
                <c:pt idx="227">
                  <c:v>25.4</c:v>
                </c:pt>
                <c:pt idx="228">
                  <c:v>35</c:v>
                </c:pt>
                <c:pt idx="229">
                  <c:v>29.7</c:v>
                </c:pt>
                <c:pt idx="230">
                  <c:v>43.6</c:v>
                </c:pt>
                <c:pt idx="231">
                  <c:v>35.9</c:v>
                </c:pt>
                <c:pt idx="232">
                  <c:v>44.1</c:v>
                </c:pt>
                <c:pt idx="233">
                  <c:v>30.8</c:v>
                </c:pt>
                <c:pt idx="234">
                  <c:v>18.399999999999999</c:v>
                </c:pt>
                <c:pt idx="235">
                  <c:v>29.2</c:v>
                </c:pt>
                <c:pt idx="236">
                  <c:v>33.1</c:v>
                </c:pt>
                <c:pt idx="237">
                  <c:v>25.6</c:v>
                </c:pt>
                <c:pt idx="238">
                  <c:v>27.1</c:v>
                </c:pt>
                <c:pt idx="239">
                  <c:v>38.200000000000003</c:v>
                </c:pt>
                <c:pt idx="240">
                  <c:v>30</c:v>
                </c:pt>
                <c:pt idx="241">
                  <c:v>31.2</c:v>
                </c:pt>
                <c:pt idx="242">
                  <c:v>52.3</c:v>
                </c:pt>
                <c:pt idx="243">
                  <c:v>35.4</c:v>
                </c:pt>
                <c:pt idx="244">
                  <c:v>30.1</c:v>
                </c:pt>
                <c:pt idx="245">
                  <c:v>31.2</c:v>
                </c:pt>
                <c:pt idx="246">
                  <c:v>28</c:v>
                </c:pt>
                <c:pt idx="247">
                  <c:v>24.4</c:v>
                </c:pt>
                <c:pt idx="248">
                  <c:v>35.799999999999997</c:v>
                </c:pt>
                <c:pt idx="249">
                  <c:v>27.6</c:v>
                </c:pt>
                <c:pt idx="250">
                  <c:v>33.6</c:v>
                </c:pt>
                <c:pt idx="251">
                  <c:v>30.1</c:v>
                </c:pt>
                <c:pt idx="252">
                  <c:v>28.7</c:v>
                </c:pt>
                <c:pt idx="253">
                  <c:v>25.9</c:v>
                </c:pt>
                <c:pt idx="254">
                  <c:v>33.299999999999997</c:v>
                </c:pt>
                <c:pt idx="255">
                  <c:v>30.9</c:v>
                </c:pt>
                <c:pt idx="256">
                  <c:v>30</c:v>
                </c:pt>
                <c:pt idx="257">
                  <c:v>32.1</c:v>
                </c:pt>
                <c:pt idx="258">
                  <c:v>32.4</c:v>
                </c:pt>
                <c:pt idx="259">
                  <c:v>32</c:v>
                </c:pt>
                <c:pt idx="260">
                  <c:v>33.6</c:v>
                </c:pt>
                <c:pt idx="261">
                  <c:v>36.299999999999997</c:v>
                </c:pt>
                <c:pt idx="262">
                  <c:v>40</c:v>
                </c:pt>
                <c:pt idx="263">
                  <c:v>25.1</c:v>
                </c:pt>
                <c:pt idx="264">
                  <c:v>27.5</c:v>
                </c:pt>
                <c:pt idx="265">
                  <c:v>45.6</c:v>
                </c:pt>
                <c:pt idx="266">
                  <c:v>25.2</c:v>
                </c:pt>
                <c:pt idx="267">
                  <c:v>23</c:v>
                </c:pt>
                <c:pt idx="268">
                  <c:v>33.200000000000003</c:v>
                </c:pt>
                <c:pt idx="269">
                  <c:v>34.200000000000003</c:v>
                </c:pt>
                <c:pt idx="270">
                  <c:v>40.5</c:v>
                </c:pt>
                <c:pt idx="271">
                  <c:v>26.5</c:v>
                </c:pt>
                <c:pt idx="272">
                  <c:v>27.8</c:v>
                </c:pt>
                <c:pt idx="273">
                  <c:v>24.9</c:v>
                </c:pt>
                <c:pt idx="274">
                  <c:v>25.3</c:v>
                </c:pt>
                <c:pt idx="275">
                  <c:v>37.9</c:v>
                </c:pt>
                <c:pt idx="276">
                  <c:v>35.9</c:v>
                </c:pt>
                <c:pt idx="277">
                  <c:v>32.4</c:v>
                </c:pt>
                <c:pt idx="278">
                  <c:v>30.4</c:v>
                </c:pt>
                <c:pt idx="279">
                  <c:v>27</c:v>
                </c:pt>
                <c:pt idx="280">
                  <c:v>26</c:v>
                </c:pt>
                <c:pt idx="281">
                  <c:v>38.700000000000003</c:v>
                </c:pt>
                <c:pt idx="282">
                  <c:v>45.6</c:v>
                </c:pt>
                <c:pt idx="283">
                  <c:v>20.8</c:v>
                </c:pt>
                <c:pt idx="284">
                  <c:v>36.1</c:v>
                </c:pt>
                <c:pt idx="285">
                  <c:v>36.9</c:v>
                </c:pt>
                <c:pt idx="286">
                  <c:v>36.6</c:v>
                </c:pt>
                <c:pt idx="287">
                  <c:v>43.3</c:v>
                </c:pt>
                <c:pt idx="288">
                  <c:v>40.5</c:v>
                </c:pt>
                <c:pt idx="289">
                  <c:v>21.9</c:v>
                </c:pt>
                <c:pt idx="290">
                  <c:v>35.5</c:v>
                </c:pt>
                <c:pt idx="291">
                  <c:v>28</c:v>
                </c:pt>
                <c:pt idx="292">
                  <c:v>30.7</c:v>
                </c:pt>
                <c:pt idx="293">
                  <c:v>36.6</c:v>
                </c:pt>
                <c:pt idx="294">
                  <c:v>23.6</c:v>
                </c:pt>
                <c:pt idx="295">
                  <c:v>32.299999999999997</c:v>
                </c:pt>
                <c:pt idx="296">
                  <c:v>31.6</c:v>
                </c:pt>
                <c:pt idx="297">
                  <c:v>35.799999999999997</c:v>
                </c:pt>
                <c:pt idx="298">
                  <c:v>52.9</c:v>
                </c:pt>
                <c:pt idx="299">
                  <c:v>21</c:v>
                </c:pt>
                <c:pt idx="300">
                  <c:v>39.700000000000003</c:v>
                </c:pt>
                <c:pt idx="301">
                  <c:v>25.5</c:v>
                </c:pt>
                <c:pt idx="302">
                  <c:v>24.8</c:v>
                </c:pt>
                <c:pt idx="303">
                  <c:v>30.5</c:v>
                </c:pt>
                <c:pt idx="304">
                  <c:v>32.9</c:v>
                </c:pt>
                <c:pt idx="305">
                  <c:v>26.2</c:v>
                </c:pt>
                <c:pt idx="306">
                  <c:v>39.4</c:v>
                </c:pt>
                <c:pt idx="307">
                  <c:v>26.6</c:v>
                </c:pt>
                <c:pt idx="308">
                  <c:v>29.5</c:v>
                </c:pt>
                <c:pt idx="309">
                  <c:v>35.9</c:v>
                </c:pt>
                <c:pt idx="310">
                  <c:v>34.1</c:v>
                </c:pt>
                <c:pt idx="311">
                  <c:v>19.3</c:v>
                </c:pt>
                <c:pt idx="312">
                  <c:v>30.5</c:v>
                </c:pt>
                <c:pt idx="313">
                  <c:v>38.1</c:v>
                </c:pt>
                <c:pt idx="314">
                  <c:v>23.5</c:v>
                </c:pt>
                <c:pt idx="315">
                  <c:v>27.5</c:v>
                </c:pt>
                <c:pt idx="316">
                  <c:v>31.6</c:v>
                </c:pt>
                <c:pt idx="317">
                  <c:v>27.4</c:v>
                </c:pt>
                <c:pt idx="318">
                  <c:v>26.8</c:v>
                </c:pt>
                <c:pt idx="319">
                  <c:v>35.700000000000003</c:v>
                </c:pt>
                <c:pt idx="320">
                  <c:v>25.6</c:v>
                </c:pt>
                <c:pt idx="321">
                  <c:v>35.1</c:v>
                </c:pt>
                <c:pt idx="322">
                  <c:v>35.1</c:v>
                </c:pt>
                <c:pt idx="323">
                  <c:v>45.5</c:v>
                </c:pt>
                <c:pt idx="324">
                  <c:v>30.8</c:v>
                </c:pt>
                <c:pt idx="325">
                  <c:v>23.1</c:v>
                </c:pt>
                <c:pt idx="326">
                  <c:v>32.700000000000003</c:v>
                </c:pt>
                <c:pt idx="327">
                  <c:v>43.3</c:v>
                </c:pt>
                <c:pt idx="328">
                  <c:v>23.6</c:v>
                </c:pt>
                <c:pt idx="329">
                  <c:v>23.9</c:v>
                </c:pt>
                <c:pt idx="330">
                  <c:v>47.9</c:v>
                </c:pt>
                <c:pt idx="331">
                  <c:v>33.799999999999997</c:v>
                </c:pt>
                <c:pt idx="332">
                  <c:v>31.2</c:v>
                </c:pt>
                <c:pt idx="333">
                  <c:v>34.200000000000003</c:v>
                </c:pt>
                <c:pt idx="334">
                  <c:v>39.9</c:v>
                </c:pt>
                <c:pt idx="335">
                  <c:v>25.9</c:v>
                </c:pt>
                <c:pt idx="336">
                  <c:v>25.9</c:v>
                </c:pt>
                <c:pt idx="337">
                  <c:v>32</c:v>
                </c:pt>
                <c:pt idx="338">
                  <c:v>34.700000000000003</c:v>
                </c:pt>
                <c:pt idx="339">
                  <c:v>36.799999999999997</c:v>
                </c:pt>
                <c:pt idx="340">
                  <c:v>38.5</c:v>
                </c:pt>
                <c:pt idx="341">
                  <c:v>28.7</c:v>
                </c:pt>
                <c:pt idx="342">
                  <c:v>23.5</c:v>
                </c:pt>
                <c:pt idx="343">
                  <c:v>21.8</c:v>
                </c:pt>
                <c:pt idx="344">
                  <c:v>41</c:v>
                </c:pt>
                <c:pt idx="345">
                  <c:v>42.2</c:v>
                </c:pt>
                <c:pt idx="346">
                  <c:v>31.2</c:v>
                </c:pt>
                <c:pt idx="347">
                  <c:v>34.4</c:v>
                </c:pt>
                <c:pt idx="348">
                  <c:v>27.2</c:v>
                </c:pt>
                <c:pt idx="349">
                  <c:v>42.7</c:v>
                </c:pt>
                <c:pt idx="350">
                  <c:v>30.4</c:v>
                </c:pt>
                <c:pt idx="351">
                  <c:v>33.299999999999997</c:v>
                </c:pt>
                <c:pt idx="352">
                  <c:v>39.9</c:v>
                </c:pt>
                <c:pt idx="353">
                  <c:v>35.299999999999997</c:v>
                </c:pt>
                <c:pt idx="354">
                  <c:v>36.5</c:v>
                </c:pt>
                <c:pt idx="355">
                  <c:v>31.2</c:v>
                </c:pt>
                <c:pt idx="356">
                  <c:v>29.8</c:v>
                </c:pt>
                <c:pt idx="357">
                  <c:v>39.200000000000003</c:v>
                </c:pt>
                <c:pt idx="358">
                  <c:v>38.5</c:v>
                </c:pt>
                <c:pt idx="359">
                  <c:v>34.9</c:v>
                </c:pt>
                <c:pt idx="360">
                  <c:v>34</c:v>
                </c:pt>
                <c:pt idx="361">
                  <c:v>27.6</c:v>
                </c:pt>
                <c:pt idx="362">
                  <c:v>21</c:v>
                </c:pt>
                <c:pt idx="363">
                  <c:v>27.5</c:v>
                </c:pt>
                <c:pt idx="364">
                  <c:v>32.799999999999997</c:v>
                </c:pt>
                <c:pt idx="365">
                  <c:v>38.4</c:v>
                </c:pt>
                <c:pt idx="366">
                  <c:v>35.799999999999997</c:v>
                </c:pt>
                <c:pt idx="367">
                  <c:v>34.9</c:v>
                </c:pt>
                <c:pt idx="368">
                  <c:v>36.200000000000003</c:v>
                </c:pt>
                <c:pt idx="369">
                  <c:v>39.200000000000003</c:v>
                </c:pt>
                <c:pt idx="370">
                  <c:v>25.2</c:v>
                </c:pt>
                <c:pt idx="371">
                  <c:v>37.200000000000003</c:v>
                </c:pt>
                <c:pt idx="372">
                  <c:v>48.3</c:v>
                </c:pt>
                <c:pt idx="373">
                  <c:v>43.4</c:v>
                </c:pt>
                <c:pt idx="374">
                  <c:v>30.8</c:v>
                </c:pt>
                <c:pt idx="375">
                  <c:v>20</c:v>
                </c:pt>
                <c:pt idx="376">
                  <c:v>25.4</c:v>
                </c:pt>
                <c:pt idx="377">
                  <c:v>25.1</c:v>
                </c:pt>
                <c:pt idx="378">
                  <c:v>24.3</c:v>
                </c:pt>
                <c:pt idx="379">
                  <c:v>22.3</c:v>
                </c:pt>
                <c:pt idx="380">
                  <c:v>32.299999999999997</c:v>
                </c:pt>
                <c:pt idx="381">
                  <c:v>43.3</c:v>
                </c:pt>
                <c:pt idx="382">
                  <c:v>32</c:v>
                </c:pt>
                <c:pt idx="383">
                  <c:v>31.6</c:v>
                </c:pt>
                <c:pt idx="384">
                  <c:v>32</c:v>
                </c:pt>
                <c:pt idx="385">
                  <c:v>45.7</c:v>
                </c:pt>
                <c:pt idx="386">
                  <c:v>23.7</c:v>
                </c:pt>
                <c:pt idx="387">
                  <c:v>22.1</c:v>
                </c:pt>
                <c:pt idx="388">
                  <c:v>32.9</c:v>
                </c:pt>
                <c:pt idx="389">
                  <c:v>27.7</c:v>
                </c:pt>
                <c:pt idx="390">
                  <c:v>24.7</c:v>
                </c:pt>
                <c:pt idx="391">
                  <c:v>34.299999999999997</c:v>
                </c:pt>
                <c:pt idx="392">
                  <c:v>21.1</c:v>
                </c:pt>
                <c:pt idx="393">
                  <c:v>34.9</c:v>
                </c:pt>
                <c:pt idx="394">
                  <c:v>32</c:v>
                </c:pt>
                <c:pt idx="395">
                  <c:v>24.2</c:v>
                </c:pt>
                <c:pt idx="396">
                  <c:v>35</c:v>
                </c:pt>
                <c:pt idx="397">
                  <c:v>31.6</c:v>
                </c:pt>
                <c:pt idx="398">
                  <c:v>32.9</c:v>
                </c:pt>
                <c:pt idx="399">
                  <c:v>42.1</c:v>
                </c:pt>
                <c:pt idx="400">
                  <c:v>28.9</c:v>
                </c:pt>
                <c:pt idx="401">
                  <c:v>21.9</c:v>
                </c:pt>
                <c:pt idx="402">
                  <c:v>25.9</c:v>
                </c:pt>
                <c:pt idx="403">
                  <c:v>42.4</c:v>
                </c:pt>
                <c:pt idx="404">
                  <c:v>35.700000000000003</c:v>
                </c:pt>
                <c:pt idx="405">
                  <c:v>34.4</c:v>
                </c:pt>
                <c:pt idx="406">
                  <c:v>42.4</c:v>
                </c:pt>
                <c:pt idx="407">
                  <c:v>26.2</c:v>
                </c:pt>
                <c:pt idx="408">
                  <c:v>34.6</c:v>
                </c:pt>
                <c:pt idx="409">
                  <c:v>35.700000000000003</c:v>
                </c:pt>
                <c:pt idx="410">
                  <c:v>27.2</c:v>
                </c:pt>
                <c:pt idx="411">
                  <c:v>38.5</c:v>
                </c:pt>
                <c:pt idx="412">
                  <c:v>18.2</c:v>
                </c:pt>
                <c:pt idx="413">
                  <c:v>26.4</c:v>
                </c:pt>
                <c:pt idx="414">
                  <c:v>45.3</c:v>
                </c:pt>
                <c:pt idx="415">
                  <c:v>26</c:v>
                </c:pt>
                <c:pt idx="416">
                  <c:v>40.6</c:v>
                </c:pt>
                <c:pt idx="417">
                  <c:v>30.8</c:v>
                </c:pt>
                <c:pt idx="418">
                  <c:v>42.9</c:v>
                </c:pt>
                <c:pt idx="419">
                  <c:v>37</c:v>
                </c:pt>
                <c:pt idx="420">
                  <c:v>34.1</c:v>
                </c:pt>
                <c:pt idx="421">
                  <c:v>40.6</c:v>
                </c:pt>
                <c:pt idx="422">
                  <c:v>35</c:v>
                </c:pt>
                <c:pt idx="423">
                  <c:v>22.2</c:v>
                </c:pt>
                <c:pt idx="424">
                  <c:v>30.4</c:v>
                </c:pt>
                <c:pt idx="425">
                  <c:v>30</c:v>
                </c:pt>
                <c:pt idx="426">
                  <c:v>25.6</c:v>
                </c:pt>
                <c:pt idx="427">
                  <c:v>24.5</c:v>
                </c:pt>
                <c:pt idx="428">
                  <c:v>42.4</c:v>
                </c:pt>
                <c:pt idx="429">
                  <c:v>37.4</c:v>
                </c:pt>
                <c:pt idx="430">
                  <c:v>29.9</c:v>
                </c:pt>
                <c:pt idx="431">
                  <c:v>18.2</c:v>
                </c:pt>
                <c:pt idx="432">
                  <c:v>36.799999999999997</c:v>
                </c:pt>
                <c:pt idx="433">
                  <c:v>34.299999999999997</c:v>
                </c:pt>
                <c:pt idx="434">
                  <c:v>32.200000000000003</c:v>
                </c:pt>
                <c:pt idx="435">
                  <c:v>33.200000000000003</c:v>
                </c:pt>
                <c:pt idx="436">
                  <c:v>30.5</c:v>
                </c:pt>
                <c:pt idx="437">
                  <c:v>29.7</c:v>
                </c:pt>
                <c:pt idx="438">
                  <c:v>59.4</c:v>
                </c:pt>
                <c:pt idx="439">
                  <c:v>25.3</c:v>
                </c:pt>
                <c:pt idx="440">
                  <c:v>36.5</c:v>
                </c:pt>
                <c:pt idx="441">
                  <c:v>33.6</c:v>
                </c:pt>
                <c:pt idx="442">
                  <c:v>30.5</c:v>
                </c:pt>
                <c:pt idx="443">
                  <c:v>21.2</c:v>
                </c:pt>
                <c:pt idx="444">
                  <c:v>28.9</c:v>
                </c:pt>
                <c:pt idx="445">
                  <c:v>39.9</c:v>
                </c:pt>
                <c:pt idx="446">
                  <c:v>19.600000000000001</c:v>
                </c:pt>
                <c:pt idx="447">
                  <c:v>37.799999999999997</c:v>
                </c:pt>
                <c:pt idx="448">
                  <c:v>33.6</c:v>
                </c:pt>
                <c:pt idx="449">
                  <c:v>26.7</c:v>
                </c:pt>
                <c:pt idx="450">
                  <c:v>30.2</c:v>
                </c:pt>
                <c:pt idx="451">
                  <c:v>37.6</c:v>
                </c:pt>
                <c:pt idx="452">
                  <c:v>25.9</c:v>
                </c:pt>
                <c:pt idx="453">
                  <c:v>20.8</c:v>
                </c:pt>
                <c:pt idx="454">
                  <c:v>21.8</c:v>
                </c:pt>
                <c:pt idx="455">
                  <c:v>35.299999999999997</c:v>
                </c:pt>
                <c:pt idx="456">
                  <c:v>27.6</c:v>
                </c:pt>
                <c:pt idx="457">
                  <c:v>24</c:v>
                </c:pt>
                <c:pt idx="458">
                  <c:v>21.8</c:v>
                </c:pt>
                <c:pt idx="459">
                  <c:v>27.8</c:v>
                </c:pt>
                <c:pt idx="460">
                  <c:v>36.799999999999997</c:v>
                </c:pt>
                <c:pt idx="461">
                  <c:v>30</c:v>
                </c:pt>
                <c:pt idx="462">
                  <c:v>46.1</c:v>
                </c:pt>
                <c:pt idx="463">
                  <c:v>41.3</c:v>
                </c:pt>
                <c:pt idx="464">
                  <c:v>33.200000000000003</c:v>
                </c:pt>
                <c:pt idx="465">
                  <c:v>38.799999999999997</c:v>
                </c:pt>
                <c:pt idx="466">
                  <c:v>29.9</c:v>
                </c:pt>
                <c:pt idx="467">
                  <c:v>28.9</c:v>
                </c:pt>
                <c:pt idx="468">
                  <c:v>27.3</c:v>
                </c:pt>
                <c:pt idx="469">
                  <c:v>33.700000000000003</c:v>
                </c:pt>
                <c:pt idx="470">
                  <c:v>23.8</c:v>
                </c:pt>
                <c:pt idx="471">
                  <c:v>25.9</c:v>
                </c:pt>
                <c:pt idx="472">
                  <c:v>28</c:v>
                </c:pt>
                <c:pt idx="473">
                  <c:v>35.5</c:v>
                </c:pt>
                <c:pt idx="474">
                  <c:v>35.200000000000003</c:v>
                </c:pt>
                <c:pt idx="475">
                  <c:v>27.8</c:v>
                </c:pt>
                <c:pt idx="476">
                  <c:v>38.200000000000003</c:v>
                </c:pt>
                <c:pt idx="477">
                  <c:v>44.2</c:v>
                </c:pt>
                <c:pt idx="478">
                  <c:v>42.3</c:v>
                </c:pt>
                <c:pt idx="479">
                  <c:v>40.700000000000003</c:v>
                </c:pt>
                <c:pt idx="480">
                  <c:v>46.5</c:v>
                </c:pt>
                <c:pt idx="481">
                  <c:v>25.6</c:v>
                </c:pt>
                <c:pt idx="482">
                  <c:v>26.1</c:v>
                </c:pt>
                <c:pt idx="483">
                  <c:v>36.799999999999997</c:v>
                </c:pt>
                <c:pt idx="484">
                  <c:v>33.5</c:v>
                </c:pt>
                <c:pt idx="485">
                  <c:v>32.799999999999997</c:v>
                </c:pt>
                <c:pt idx="486">
                  <c:v>28.9</c:v>
                </c:pt>
                <c:pt idx="487">
                  <c:v>26.6</c:v>
                </c:pt>
                <c:pt idx="488">
                  <c:v>26</c:v>
                </c:pt>
                <c:pt idx="489">
                  <c:v>30.1</c:v>
                </c:pt>
                <c:pt idx="490">
                  <c:v>25.1</c:v>
                </c:pt>
                <c:pt idx="491">
                  <c:v>29.3</c:v>
                </c:pt>
                <c:pt idx="492">
                  <c:v>25.2</c:v>
                </c:pt>
                <c:pt idx="493">
                  <c:v>37.200000000000003</c:v>
                </c:pt>
                <c:pt idx="494">
                  <c:v>39</c:v>
                </c:pt>
                <c:pt idx="495">
                  <c:v>33.299999999999997</c:v>
                </c:pt>
                <c:pt idx="496">
                  <c:v>37.299999999999997</c:v>
                </c:pt>
                <c:pt idx="497">
                  <c:v>33.299999999999997</c:v>
                </c:pt>
                <c:pt idx="498">
                  <c:v>36.5</c:v>
                </c:pt>
                <c:pt idx="499">
                  <c:v>28.6</c:v>
                </c:pt>
                <c:pt idx="500">
                  <c:v>30.4</c:v>
                </c:pt>
                <c:pt idx="501">
                  <c:v>25</c:v>
                </c:pt>
                <c:pt idx="502">
                  <c:v>29.7</c:v>
                </c:pt>
                <c:pt idx="503">
                  <c:v>22.1</c:v>
                </c:pt>
                <c:pt idx="504">
                  <c:v>24.2</c:v>
                </c:pt>
                <c:pt idx="505">
                  <c:v>27.3</c:v>
                </c:pt>
                <c:pt idx="506">
                  <c:v>25.6</c:v>
                </c:pt>
                <c:pt idx="507">
                  <c:v>31.6</c:v>
                </c:pt>
                <c:pt idx="508">
                  <c:v>30.3</c:v>
                </c:pt>
                <c:pt idx="509">
                  <c:v>37.6</c:v>
                </c:pt>
                <c:pt idx="510">
                  <c:v>32.799999999999997</c:v>
                </c:pt>
                <c:pt idx="511">
                  <c:v>19.600000000000001</c:v>
                </c:pt>
                <c:pt idx="512">
                  <c:v>25</c:v>
                </c:pt>
                <c:pt idx="513">
                  <c:v>33.200000000000003</c:v>
                </c:pt>
                <c:pt idx="514">
                  <c:v>34.200000000000003</c:v>
                </c:pt>
                <c:pt idx="515">
                  <c:v>31.6</c:v>
                </c:pt>
                <c:pt idx="516">
                  <c:v>21.8</c:v>
                </c:pt>
                <c:pt idx="517">
                  <c:v>18.2</c:v>
                </c:pt>
                <c:pt idx="518">
                  <c:v>26.3</c:v>
                </c:pt>
                <c:pt idx="519">
                  <c:v>30.8</c:v>
                </c:pt>
                <c:pt idx="520">
                  <c:v>24.6</c:v>
                </c:pt>
                <c:pt idx="521">
                  <c:v>29.8</c:v>
                </c:pt>
                <c:pt idx="522">
                  <c:v>45.3</c:v>
                </c:pt>
                <c:pt idx="523">
                  <c:v>41.3</c:v>
                </c:pt>
                <c:pt idx="524">
                  <c:v>29.8</c:v>
                </c:pt>
                <c:pt idx="525">
                  <c:v>33.299999999999997</c:v>
                </c:pt>
                <c:pt idx="526">
                  <c:v>32.9</c:v>
                </c:pt>
                <c:pt idx="527">
                  <c:v>29.6</c:v>
                </c:pt>
                <c:pt idx="528">
                  <c:v>21.7</c:v>
                </c:pt>
                <c:pt idx="529">
                  <c:v>36.299999999999997</c:v>
                </c:pt>
                <c:pt idx="530">
                  <c:v>36.4</c:v>
                </c:pt>
                <c:pt idx="531">
                  <c:v>39.4</c:v>
                </c:pt>
                <c:pt idx="532">
                  <c:v>32.4</c:v>
                </c:pt>
                <c:pt idx="533">
                  <c:v>34.9</c:v>
                </c:pt>
                <c:pt idx="534">
                  <c:v>39.5</c:v>
                </c:pt>
                <c:pt idx="535">
                  <c:v>32</c:v>
                </c:pt>
                <c:pt idx="536">
                  <c:v>34.5</c:v>
                </c:pt>
                <c:pt idx="537">
                  <c:v>43.6</c:v>
                </c:pt>
                <c:pt idx="538">
                  <c:v>33.1</c:v>
                </c:pt>
                <c:pt idx="539">
                  <c:v>32.799999999999997</c:v>
                </c:pt>
                <c:pt idx="540">
                  <c:v>28.5</c:v>
                </c:pt>
                <c:pt idx="541">
                  <c:v>27.4</c:v>
                </c:pt>
                <c:pt idx="542">
                  <c:v>31.9</c:v>
                </c:pt>
                <c:pt idx="543">
                  <c:v>27.8</c:v>
                </c:pt>
                <c:pt idx="544">
                  <c:v>29.9</c:v>
                </c:pt>
                <c:pt idx="545">
                  <c:v>36.9</c:v>
                </c:pt>
                <c:pt idx="546">
                  <c:v>25.5</c:v>
                </c:pt>
                <c:pt idx="547">
                  <c:v>38.1</c:v>
                </c:pt>
                <c:pt idx="548">
                  <c:v>27.8</c:v>
                </c:pt>
                <c:pt idx="549">
                  <c:v>46.2</c:v>
                </c:pt>
                <c:pt idx="550">
                  <c:v>30.1</c:v>
                </c:pt>
                <c:pt idx="551">
                  <c:v>33.799999999999997</c:v>
                </c:pt>
                <c:pt idx="552">
                  <c:v>41.3</c:v>
                </c:pt>
                <c:pt idx="553">
                  <c:v>37.6</c:v>
                </c:pt>
                <c:pt idx="554">
                  <c:v>26.9</c:v>
                </c:pt>
                <c:pt idx="555">
                  <c:v>32.4</c:v>
                </c:pt>
                <c:pt idx="556">
                  <c:v>26.1</c:v>
                </c:pt>
                <c:pt idx="557">
                  <c:v>38.6</c:v>
                </c:pt>
                <c:pt idx="558">
                  <c:v>32</c:v>
                </c:pt>
                <c:pt idx="559">
                  <c:v>31.3</c:v>
                </c:pt>
                <c:pt idx="560">
                  <c:v>34.299999999999997</c:v>
                </c:pt>
                <c:pt idx="561">
                  <c:v>32.5</c:v>
                </c:pt>
                <c:pt idx="562">
                  <c:v>22.6</c:v>
                </c:pt>
                <c:pt idx="563">
                  <c:v>29.5</c:v>
                </c:pt>
                <c:pt idx="564">
                  <c:v>34.700000000000003</c:v>
                </c:pt>
                <c:pt idx="565">
                  <c:v>30.1</c:v>
                </c:pt>
                <c:pt idx="566">
                  <c:v>35.5</c:v>
                </c:pt>
                <c:pt idx="567">
                  <c:v>24</c:v>
                </c:pt>
                <c:pt idx="568">
                  <c:v>42.9</c:v>
                </c:pt>
                <c:pt idx="569">
                  <c:v>27</c:v>
                </c:pt>
                <c:pt idx="570">
                  <c:v>34.700000000000003</c:v>
                </c:pt>
                <c:pt idx="571">
                  <c:v>42.1</c:v>
                </c:pt>
                <c:pt idx="572">
                  <c:v>25</c:v>
                </c:pt>
                <c:pt idx="573">
                  <c:v>26.5</c:v>
                </c:pt>
                <c:pt idx="574">
                  <c:v>38.700000000000003</c:v>
                </c:pt>
                <c:pt idx="575">
                  <c:v>28.7</c:v>
                </c:pt>
                <c:pt idx="576">
                  <c:v>22.5</c:v>
                </c:pt>
                <c:pt idx="577">
                  <c:v>34.9</c:v>
                </c:pt>
                <c:pt idx="578">
                  <c:v>24.3</c:v>
                </c:pt>
                <c:pt idx="579">
                  <c:v>33.299999999999997</c:v>
                </c:pt>
                <c:pt idx="580">
                  <c:v>21.1</c:v>
                </c:pt>
                <c:pt idx="581">
                  <c:v>46.8</c:v>
                </c:pt>
                <c:pt idx="582">
                  <c:v>39.4</c:v>
                </c:pt>
                <c:pt idx="583">
                  <c:v>34.4</c:v>
                </c:pt>
                <c:pt idx="584">
                  <c:v>28.5</c:v>
                </c:pt>
                <c:pt idx="585">
                  <c:v>33.6</c:v>
                </c:pt>
                <c:pt idx="586">
                  <c:v>32</c:v>
                </c:pt>
                <c:pt idx="587">
                  <c:v>45.3</c:v>
                </c:pt>
                <c:pt idx="588">
                  <c:v>27.8</c:v>
                </c:pt>
                <c:pt idx="589">
                  <c:v>36.799999999999997</c:v>
                </c:pt>
                <c:pt idx="590">
                  <c:v>23.1</c:v>
                </c:pt>
                <c:pt idx="591">
                  <c:v>27.1</c:v>
                </c:pt>
                <c:pt idx="592">
                  <c:v>23.7</c:v>
                </c:pt>
                <c:pt idx="593">
                  <c:v>27.8</c:v>
                </c:pt>
                <c:pt idx="594">
                  <c:v>35.200000000000003</c:v>
                </c:pt>
                <c:pt idx="595">
                  <c:v>28.4</c:v>
                </c:pt>
                <c:pt idx="596">
                  <c:v>35.799999999999997</c:v>
                </c:pt>
                <c:pt idx="597">
                  <c:v>40</c:v>
                </c:pt>
                <c:pt idx="598">
                  <c:v>19.5</c:v>
                </c:pt>
                <c:pt idx="599">
                  <c:v>41.5</c:v>
                </c:pt>
                <c:pt idx="600">
                  <c:v>24</c:v>
                </c:pt>
                <c:pt idx="601">
                  <c:v>30.9</c:v>
                </c:pt>
                <c:pt idx="602">
                  <c:v>32.9</c:v>
                </c:pt>
                <c:pt idx="603">
                  <c:v>38.200000000000003</c:v>
                </c:pt>
                <c:pt idx="604">
                  <c:v>32.5</c:v>
                </c:pt>
                <c:pt idx="605">
                  <c:v>36.1</c:v>
                </c:pt>
                <c:pt idx="606">
                  <c:v>25.8</c:v>
                </c:pt>
                <c:pt idx="607">
                  <c:v>28.7</c:v>
                </c:pt>
                <c:pt idx="608">
                  <c:v>20.100000000000001</c:v>
                </c:pt>
                <c:pt idx="609">
                  <c:v>28.2</c:v>
                </c:pt>
                <c:pt idx="610">
                  <c:v>32.4</c:v>
                </c:pt>
                <c:pt idx="611">
                  <c:v>38.4</c:v>
                </c:pt>
                <c:pt idx="612">
                  <c:v>24.2</c:v>
                </c:pt>
                <c:pt idx="613">
                  <c:v>40.799999999999997</c:v>
                </c:pt>
                <c:pt idx="614">
                  <c:v>43.5</c:v>
                </c:pt>
                <c:pt idx="615">
                  <c:v>30.8</c:v>
                </c:pt>
                <c:pt idx="616">
                  <c:v>37.700000000000003</c:v>
                </c:pt>
                <c:pt idx="617">
                  <c:v>24.7</c:v>
                </c:pt>
                <c:pt idx="618">
                  <c:v>32.4</c:v>
                </c:pt>
                <c:pt idx="619">
                  <c:v>34.6</c:v>
                </c:pt>
                <c:pt idx="620">
                  <c:v>24.7</c:v>
                </c:pt>
                <c:pt idx="621">
                  <c:v>27.4</c:v>
                </c:pt>
                <c:pt idx="622">
                  <c:v>34.5</c:v>
                </c:pt>
                <c:pt idx="623">
                  <c:v>26.2</c:v>
                </c:pt>
                <c:pt idx="624">
                  <c:v>27.5</c:v>
                </c:pt>
                <c:pt idx="625">
                  <c:v>25.9</c:v>
                </c:pt>
                <c:pt idx="626">
                  <c:v>31.2</c:v>
                </c:pt>
                <c:pt idx="627">
                  <c:v>28.8</c:v>
                </c:pt>
                <c:pt idx="628">
                  <c:v>31.6</c:v>
                </c:pt>
                <c:pt idx="629">
                  <c:v>40.9</c:v>
                </c:pt>
                <c:pt idx="630">
                  <c:v>19.5</c:v>
                </c:pt>
                <c:pt idx="631">
                  <c:v>29.3</c:v>
                </c:pt>
                <c:pt idx="632">
                  <c:v>34.299999999999997</c:v>
                </c:pt>
                <c:pt idx="633">
                  <c:v>29.5</c:v>
                </c:pt>
                <c:pt idx="634">
                  <c:v>28</c:v>
                </c:pt>
                <c:pt idx="635">
                  <c:v>27.6</c:v>
                </c:pt>
                <c:pt idx="636">
                  <c:v>39.4</c:v>
                </c:pt>
                <c:pt idx="637">
                  <c:v>23.4</c:v>
                </c:pt>
                <c:pt idx="638">
                  <c:v>37.799999999999997</c:v>
                </c:pt>
                <c:pt idx="639">
                  <c:v>28.3</c:v>
                </c:pt>
                <c:pt idx="640">
                  <c:v>26.4</c:v>
                </c:pt>
                <c:pt idx="641">
                  <c:v>25.2</c:v>
                </c:pt>
                <c:pt idx="642">
                  <c:v>33.799999999999997</c:v>
                </c:pt>
                <c:pt idx="643">
                  <c:v>34.1</c:v>
                </c:pt>
                <c:pt idx="644">
                  <c:v>26.8</c:v>
                </c:pt>
                <c:pt idx="645">
                  <c:v>34.200000000000003</c:v>
                </c:pt>
                <c:pt idx="646">
                  <c:v>38.700000000000003</c:v>
                </c:pt>
                <c:pt idx="647">
                  <c:v>21.8</c:v>
                </c:pt>
                <c:pt idx="648">
                  <c:v>38.9</c:v>
                </c:pt>
                <c:pt idx="649">
                  <c:v>39</c:v>
                </c:pt>
                <c:pt idx="650">
                  <c:v>34.200000000000003</c:v>
                </c:pt>
                <c:pt idx="651">
                  <c:v>27.7</c:v>
                </c:pt>
                <c:pt idx="652">
                  <c:v>42.9</c:v>
                </c:pt>
                <c:pt idx="653">
                  <c:v>37.6</c:v>
                </c:pt>
                <c:pt idx="654">
                  <c:v>37.9</c:v>
                </c:pt>
                <c:pt idx="655">
                  <c:v>33.700000000000003</c:v>
                </c:pt>
                <c:pt idx="656">
                  <c:v>34.799999999999997</c:v>
                </c:pt>
                <c:pt idx="657">
                  <c:v>32.5</c:v>
                </c:pt>
                <c:pt idx="658">
                  <c:v>27.5</c:v>
                </c:pt>
                <c:pt idx="659">
                  <c:v>34</c:v>
                </c:pt>
                <c:pt idx="660">
                  <c:v>30.9</c:v>
                </c:pt>
                <c:pt idx="661">
                  <c:v>33.6</c:v>
                </c:pt>
                <c:pt idx="662">
                  <c:v>25.4</c:v>
                </c:pt>
                <c:pt idx="663">
                  <c:v>35.5</c:v>
                </c:pt>
                <c:pt idx="664">
                  <c:v>57.3</c:v>
                </c:pt>
                <c:pt idx="665">
                  <c:v>35.6</c:v>
                </c:pt>
                <c:pt idx="666">
                  <c:v>30.9</c:v>
                </c:pt>
                <c:pt idx="667">
                  <c:v>24.8</c:v>
                </c:pt>
                <c:pt idx="668">
                  <c:v>35.299999999999997</c:v>
                </c:pt>
                <c:pt idx="669">
                  <c:v>36</c:v>
                </c:pt>
                <c:pt idx="670">
                  <c:v>24.2</c:v>
                </c:pt>
                <c:pt idx="671">
                  <c:v>24.2</c:v>
                </c:pt>
                <c:pt idx="672">
                  <c:v>49.6</c:v>
                </c:pt>
                <c:pt idx="673">
                  <c:v>44.6</c:v>
                </c:pt>
                <c:pt idx="674">
                  <c:v>32.299999999999997</c:v>
                </c:pt>
                <c:pt idx="675">
                  <c:v>33.200000000000003</c:v>
                </c:pt>
                <c:pt idx="676">
                  <c:v>23.1</c:v>
                </c:pt>
                <c:pt idx="677">
                  <c:v>28.3</c:v>
                </c:pt>
                <c:pt idx="678">
                  <c:v>24.1</c:v>
                </c:pt>
                <c:pt idx="679">
                  <c:v>46.1</c:v>
                </c:pt>
                <c:pt idx="680">
                  <c:v>24.6</c:v>
                </c:pt>
                <c:pt idx="681">
                  <c:v>42.3</c:v>
                </c:pt>
                <c:pt idx="682">
                  <c:v>39.1</c:v>
                </c:pt>
                <c:pt idx="683">
                  <c:v>38.5</c:v>
                </c:pt>
                <c:pt idx="684">
                  <c:v>23.5</c:v>
                </c:pt>
                <c:pt idx="685">
                  <c:v>30.4</c:v>
                </c:pt>
                <c:pt idx="686">
                  <c:v>29.9</c:v>
                </c:pt>
                <c:pt idx="687">
                  <c:v>25</c:v>
                </c:pt>
                <c:pt idx="688">
                  <c:v>34.5</c:v>
                </c:pt>
                <c:pt idx="689">
                  <c:v>44.5</c:v>
                </c:pt>
                <c:pt idx="690">
                  <c:v>35.9</c:v>
                </c:pt>
                <c:pt idx="691">
                  <c:v>27.6</c:v>
                </c:pt>
                <c:pt idx="692">
                  <c:v>35</c:v>
                </c:pt>
                <c:pt idx="693">
                  <c:v>38.5</c:v>
                </c:pt>
                <c:pt idx="694">
                  <c:v>28.4</c:v>
                </c:pt>
                <c:pt idx="695">
                  <c:v>39.799999999999997</c:v>
                </c:pt>
                <c:pt idx="696">
                  <c:v>34.4</c:v>
                </c:pt>
                <c:pt idx="697">
                  <c:v>32.799999999999997</c:v>
                </c:pt>
                <c:pt idx="698">
                  <c:v>38</c:v>
                </c:pt>
                <c:pt idx="699">
                  <c:v>31.2</c:v>
                </c:pt>
                <c:pt idx="700">
                  <c:v>29.6</c:v>
                </c:pt>
                <c:pt idx="701">
                  <c:v>41.2</c:v>
                </c:pt>
                <c:pt idx="702">
                  <c:v>26.4</c:v>
                </c:pt>
                <c:pt idx="703">
                  <c:v>29.5</c:v>
                </c:pt>
                <c:pt idx="704">
                  <c:v>33.9</c:v>
                </c:pt>
                <c:pt idx="705">
                  <c:v>33.799999999999997</c:v>
                </c:pt>
                <c:pt idx="706">
                  <c:v>23.1</c:v>
                </c:pt>
                <c:pt idx="707">
                  <c:v>35.5</c:v>
                </c:pt>
                <c:pt idx="708">
                  <c:v>35.6</c:v>
                </c:pt>
                <c:pt idx="709">
                  <c:v>29.3</c:v>
                </c:pt>
                <c:pt idx="710">
                  <c:v>38.1</c:v>
                </c:pt>
                <c:pt idx="711">
                  <c:v>29.3</c:v>
                </c:pt>
                <c:pt idx="712">
                  <c:v>39.1</c:v>
                </c:pt>
                <c:pt idx="713">
                  <c:v>32.799999999999997</c:v>
                </c:pt>
                <c:pt idx="714">
                  <c:v>39.4</c:v>
                </c:pt>
                <c:pt idx="715">
                  <c:v>36.1</c:v>
                </c:pt>
                <c:pt idx="716">
                  <c:v>32.4</c:v>
                </c:pt>
                <c:pt idx="717">
                  <c:v>22.9</c:v>
                </c:pt>
                <c:pt idx="718">
                  <c:v>30.1</c:v>
                </c:pt>
                <c:pt idx="719">
                  <c:v>28.4</c:v>
                </c:pt>
                <c:pt idx="720">
                  <c:v>28.4</c:v>
                </c:pt>
                <c:pt idx="721">
                  <c:v>44.5</c:v>
                </c:pt>
                <c:pt idx="722">
                  <c:v>29</c:v>
                </c:pt>
                <c:pt idx="723">
                  <c:v>23.3</c:v>
                </c:pt>
                <c:pt idx="724">
                  <c:v>35.4</c:v>
                </c:pt>
                <c:pt idx="725">
                  <c:v>27.4</c:v>
                </c:pt>
                <c:pt idx="726">
                  <c:v>32</c:v>
                </c:pt>
                <c:pt idx="727">
                  <c:v>36.6</c:v>
                </c:pt>
                <c:pt idx="728">
                  <c:v>39.5</c:v>
                </c:pt>
                <c:pt idx="729">
                  <c:v>42.3</c:v>
                </c:pt>
                <c:pt idx="730">
                  <c:v>30.8</c:v>
                </c:pt>
                <c:pt idx="731">
                  <c:v>28.5</c:v>
                </c:pt>
                <c:pt idx="732">
                  <c:v>32.700000000000003</c:v>
                </c:pt>
                <c:pt idx="733">
                  <c:v>40.6</c:v>
                </c:pt>
                <c:pt idx="734">
                  <c:v>30</c:v>
                </c:pt>
                <c:pt idx="735">
                  <c:v>49.3</c:v>
                </c:pt>
                <c:pt idx="736">
                  <c:v>46.3</c:v>
                </c:pt>
                <c:pt idx="737">
                  <c:v>36.4</c:v>
                </c:pt>
                <c:pt idx="738">
                  <c:v>24.3</c:v>
                </c:pt>
                <c:pt idx="739">
                  <c:v>31.2</c:v>
                </c:pt>
                <c:pt idx="740">
                  <c:v>39</c:v>
                </c:pt>
                <c:pt idx="741">
                  <c:v>26</c:v>
                </c:pt>
                <c:pt idx="742">
                  <c:v>43.3</c:v>
                </c:pt>
                <c:pt idx="743">
                  <c:v>32.4</c:v>
                </c:pt>
                <c:pt idx="744">
                  <c:v>36.5</c:v>
                </c:pt>
                <c:pt idx="745">
                  <c:v>32</c:v>
                </c:pt>
                <c:pt idx="746">
                  <c:v>36.299999999999997</c:v>
                </c:pt>
                <c:pt idx="747">
                  <c:v>37.5</c:v>
                </c:pt>
                <c:pt idx="748">
                  <c:v>35.5</c:v>
                </c:pt>
                <c:pt idx="749">
                  <c:v>28.4</c:v>
                </c:pt>
                <c:pt idx="750">
                  <c:v>44</c:v>
                </c:pt>
                <c:pt idx="751">
                  <c:v>22.5</c:v>
                </c:pt>
                <c:pt idx="752">
                  <c:v>32.9</c:v>
                </c:pt>
                <c:pt idx="753">
                  <c:v>36.799999999999997</c:v>
                </c:pt>
                <c:pt idx="754">
                  <c:v>26.2</c:v>
                </c:pt>
                <c:pt idx="755">
                  <c:v>30.1</c:v>
                </c:pt>
                <c:pt idx="756">
                  <c:v>30.4</c:v>
                </c:pt>
              </c:numCache>
            </c:numRef>
          </c:yVal>
          <c:smooth val="0"/>
          <c:extLst>
            <c:ext xmlns:c16="http://schemas.microsoft.com/office/drawing/2014/chart" uri="{C3380CC4-5D6E-409C-BE32-E72D297353CC}">
              <c16:uniqueId val="{00000000-1C8A-D649-A6E6-DBA4E7E20355}"/>
            </c:ext>
          </c:extLst>
        </c:ser>
        <c:dLbls>
          <c:showLegendKey val="0"/>
          <c:showVal val="0"/>
          <c:showCatName val="0"/>
          <c:showSerName val="0"/>
          <c:showPercent val="0"/>
          <c:showBubbleSize val="0"/>
        </c:dLbls>
        <c:axId val="1169289024"/>
        <c:axId val="1152497216"/>
      </c:scatterChart>
      <c:valAx>
        <c:axId val="116928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497216"/>
        <c:crosses val="autoZero"/>
        <c:crossBetween val="midCat"/>
      </c:valAx>
      <c:valAx>
        <c:axId val="115249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2890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DDS Expenditures Increase</a:t>
            </a:r>
            <a:r>
              <a:rPr lang="en-US" b="1" baseline="0"/>
              <a:t> with</a:t>
            </a:r>
            <a:r>
              <a:rPr lang="en-US" b="1"/>
              <a:t> Age </a:t>
            </a:r>
          </a:p>
        </c:rich>
      </c:tx>
      <c:layout>
        <c:manualLayout>
          <c:xMode val="edge"/>
          <c:yMode val="edge"/>
          <c:x val="1.1576941436480715E-2"/>
          <c:y val="1.34508421498131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6663559516337E-2"/>
          <c:y val="0.14551121037667869"/>
          <c:w val="0.83671975132774301"/>
          <c:h val="0.81985255335112373"/>
        </c:manualLayout>
      </c:layout>
      <c:scatterChart>
        <c:scatterStyle val="lineMarker"/>
        <c:varyColors val="0"/>
        <c:ser>
          <c:idx val="0"/>
          <c:order val="0"/>
          <c:tx>
            <c:strRef>
              <c:f>Part2_CalDDS!$E$1</c:f>
              <c:strCache>
                <c:ptCount val="1"/>
                <c:pt idx="0">
                  <c:v> Expenditures </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Part2_CalDDS!$C$2:$C$1001</c:f>
              <c:numCache>
                <c:formatCode>General</c:formatCode>
                <c:ptCount val="777"/>
                <c:pt idx="0">
                  <c:v>3</c:v>
                </c:pt>
                <c:pt idx="1">
                  <c:v>19</c:v>
                </c:pt>
                <c:pt idx="2">
                  <c:v>15</c:v>
                </c:pt>
                <c:pt idx="3">
                  <c:v>13</c:v>
                </c:pt>
                <c:pt idx="4">
                  <c:v>14</c:v>
                </c:pt>
                <c:pt idx="5">
                  <c:v>20</c:v>
                </c:pt>
                <c:pt idx="6">
                  <c:v>5</c:v>
                </c:pt>
                <c:pt idx="7">
                  <c:v>15</c:v>
                </c:pt>
                <c:pt idx="8">
                  <c:v>5</c:v>
                </c:pt>
                <c:pt idx="9">
                  <c:v>5</c:v>
                </c:pt>
                <c:pt idx="10">
                  <c:v>22</c:v>
                </c:pt>
                <c:pt idx="11">
                  <c:v>3</c:v>
                </c:pt>
                <c:pt idx="12">
                  <c:v>6</c:v>
                </c:pt>
                <c:pt idx="13">
                  <c:v>3</c:v>
                </c:pt>
                <c:pt idx="14">
                  <c:v>16</c:v>
                </c:pt>
                <c:pt idx="15">
                  <c:v>8</c:v>
                </c:pt>
                <c:pt idx="16">
                  <c:v>10</c:v>
                </c:pt>
                <c:pt idx="17">
                  <c:v>16</c:v>
                </c:pt>
                <c:pt idx="18">
                  <c:v>13</c:v>
                </c:pt>
                <c:pt idx="19">
                  <c:v>16</c:v>
                </c:pt>
                <c:pt idx="20">
                  <c:v>20</c:v>
                </c:pt>
                <c:pt idx="21">
                  <c:v>45</c:v>
                </c:pt>
                <c:pt idx="22">
                  <c:v>5</c:v>
                </c:pt>
                <c:pt idx="23">
                  <c:v>32</c:v>
                </c:pt>
                <c:pt idx="24">
                  <c:v>13</c:v>
                </c:pt>
                <c:pt idx="25">
                  <c:v>19</c:v>
                </c:pt>
                <c:pt idx="26">
                  <c:v>6</c:v>
                </c:pt>
                <c:pt idx="27">
                  <c:v>17</c:v>
                </c:pt>
                <c:pt idx="28">
                  <c:v>34</c:v>
                </c:pt>
                <c:pt idx="29">
                  <c:v>18</c:v>
                </c:pt>
                <c:pt idx="30">
                  <c:v>15</c:v>
                </c:pt>
                <c:pt idx="31">
                  <c:v>16</c:v>
                </c:pt>
                <c:pt idx="32">
                  <c:v>1</c:v>
                </c:pt>
                <c:pt idx="33">
                  <c:v>94</c:v>
                </c:pt>
                <c:pt idx="34">
                  <c:v>5</c:v>
                </c:pt>
                <c:pt idx="35">
                  <c:v>23</c:v>
                </c:pt>
                <c:pt idx="36">
                  <c:v>4</c:v>
                </c:pt>
                <c:pt idx="37">
                  <c:v>12</c:v>
                </c:pt>
                <c:pt idx="38">
                  <c:v>20</c:v>
                </c:pt>
                <c:pt idx="39">
                  <c:v>12</c:v>
                </c:pt>
                <c:pt idx="40">
                  <c:v>15</c:v>
                </c:pt>
                <c:pt idx="41">
                  <c:v>24</c:v>
                </c:pt>
                <c:pt idx="42">
                  <c:v>4</c:v>
                </c:pt>
                <c:pt idx="43">
                  <c:v>24</c:v>
                </c:pt>
                <c:pt idx="44">
                  <c:v>18</c:v>
                </c:pt>
                <c:pt idx="45">
                  <c:v>19</c:v>
                </c:pt>
                <c:pt idx="46">
                  <c:v>11</c:v>
                </c:pt>
                <c:pt idx="47">
                  <c:v>66</c:v>
                </c:pt>
                <c:pt idx="48">
                  <c:v>19</c:v>
                </c:pt>
                <c:pt idx="49">
                  <c:v>14</c:v>
                </c:pt>
                <c:pt idx="50">
                  <c:v>5</c:v>
                </c:pt>
                <c:pt idx="51">
                  <c:v>17</c:v>
                </c:pt>
                <c:pt idx="52">
                  <c:v>34</c:v>
                </c:pt>
                <c:pt idx="53">
                  <c:v>13</c:v>
                </c:pt>
                <c:pt idx="54">
                  <c:v>4</c:v>
                </c:pt>
                <c:pt idx="55">
                  <c:v>5</c:v>
                </c:pt>
                <c:pt idx="56">
                  <c:v>4</c:v>
                </c:pt>
                <c:pt idx="57">
                  <c:v>4</c:v>
                </c:pt>
                <c:pt idx="58">
                  <c:v>0</c:v>
                </c:pt>
                <c:pt idx="59">
                  <c:v>19</c:v>
                </c:pt>
                <c:pt idx="60">
                  <c:v>3</c:v>
                </c:pt>
                <c:pt idx="61">
                  <c:v>17</c:v>
                </c:pt>
                <c:pt idx="62">
                  <c:v>16</c:v>
                </c:pt>
                <c:pt idx="63">
                  <c:v>21</c:v>
                </c:pt>
                <c:pt idx="64">
                  <c:v>9</c:v>
                </c:pt>
                <c:pt idx="65">
                  <c:v>15</c:v>
                </c:pt>
                <c:pt idx="66">
                  <c:v>14</c:v>
                </c:pt>
                <c:pt idx="67">
                  <c:v>0</c:v>
                </c:pt>
                <c:pt idx="68">
                  <c:v>21</c:v>
                </c:pt>
                <c:pt idx="69">
                  <c:v>21</c:v>
                </c:pt>
                <c:pt idx="70">
                  <c:v>6</c:v>
                </c:pt>
                <c:pt idx="71">
                  <c:v>19</c:v>
                </c:pt>
                <c:pt idx="72">
                  <c:v>16</c:v>
                </c:pt>
                <c:pt idx="73">
                  <c:v>0</c:v>
                </c:pt>
                <c:pt idx="74">
                  <c:v>4</c:v>
                </c:pt>
                <c:pt idx="75">
                  <c:v>6</c:v>
                </c:pt>
                <c:pt idx="76">
                  <c:v>17</c:v>
                </c:pt>
                <c:pt idx="77">
                  <c:v>13</c:v>
                </c:pt>
                <c:pt idx="78">
                  <c:v>16</c:v>
                </c:pt>
                <c:pt idx="79">
                  <c:v>4</c:v>
                </c:pt>
                <c:pt idx="80">
                  <c:v>12</c:v>
                </c:pt>
                <c:pt idx="81">
                  <c:v>11</c:v>
                </c:pt>
                <c:pt idx="82">
                  <c:v>7</c:v>
                </c:pt>
                <c:pt idx="83">
                  <c:v>22</c:v>
                </c:pt>
                <c:pt idx="84">
                  <c:v>1</c:v>
                </c:pt>
                <c:pt idx="85">
                  <c:v>20</c:v>
                </c:pt>
                <c:pt idx="86">
                  <c:v>5</c:v>
                </c:pt>
                <c:pt idx="87">
                  <c:v>4</c:v>
                </c:pt>
                <c:pt idx="88">
                  <c:v>33</c:v>
                </c:pt>
                <c:pt idx="89">
                  <c:v>4</c:v>
                </c:pt>
                <c:pt idx="90">
                  <c:v>19</c:v>
                </c:pt>
                <c:pt idx="91">
                  <c:v>15</c:v>
                </c:pt>
                <c:pt idx="92">
                  <c:v>1</c:v>
                </c:pt>
                <c:pt idx="93">
                  <c:v>21</c:v>
                </c:pt>
                <c:pt idx="94">
                  <c:v>8</c:v>
                </c:pt>
                <c:pt idx="95">
                  <c:v>17</c:v>
                </c:pt>
                <c:pt idx="96">
                  <c:v>7</c:v>
                </c:pt>
                <c:pt idx="97">
                  <c:v>16</c:v>
                </c:pt>
                <c:pt idx="98">
                  <c:v>14</c:v>
                </c:pt>
                <c:pt idx="99">
                  <c:v>19</c:v>
                </c:pt>
                <c:pt idx="100">
                  <c:v>20</c:v>
                </c:pt>
                <c:pt idx="101">
                  <c:v>3</c:v>
                </c:pt>
                <c:pt idx="102">
                  <c:v>20</c:v>
                </c:pt>
                <c:pt idx="103">
                  <c:v>17</c:v>
                </c:pt>
                <c:pt idx="104">
                  <c:v>21</c:v>
                </c:pt>
                <c:pt idx="105">
                  <c:v>2</c:v>
                </c:pt>
                <c:pt idx="106">
                  <c:v>70</c:v>
                </c:pt>
                <c:pt idx="107">
                  <c:v>17</c:v>
                </c:pt>
                <c:pt idx="108">
                  <c:v>38</c:v>
                </c:pt>
                <c:pt idx="109">
                  <c:v>11</c:v>
                </c:pt>
                <c:pt idx="110">
                  <c:v>11</c:v>
                </c:pt>
                <c:pt idx="111">
                  <c:v>1</c:v>
                </c:pt>
                <c:pt idx="112">
                  <c:v>26</c:v>
                </c:pt>
                <c:pt idx="113">
                  <c:v>68</c:v>
                </c:pt>
                <c:pt idx="114">
                  <c:v>13</c:v>
                </c:pt>
                <c:pt idx="115">
                  <c:v>8</c:v>
                </c:pt>
                <c:pt idx="116">
                  <c:v>21</c:v>
                </c:pt>
                <c:pt idx="117">
                  <c:v>20</c:v>
                </c:pt>
                <c:pt idx="118">
                  <c:v>8</c:v>
                </c:pt>
                <c:pt idx="119">
                  <c:v>27</c:v>
                </c:pt>
                <c:pt idx="120">
                  <c:v>6</c:v>
                </c:pt>
                <c:pt idx="121">
                  <c:v>21</c:v>
                </c:pt>
                <c:pt idx="122">
                  <c:v>15</c:v>
                </c:pt>
                <c:pt idx="123">
                  <c:v>76</c:v>
                </c:pt>
                <c:pt idx="124">
                  <c:v>18</c:v>
                </c:pt>
                <c:pt idx="125">
                  <c:v>20</c:v>
                </c:pt>
                <c:pt idx="126">
                  <c:v>20</c:v>
                </c:pt>
                <c:pt idx="127">
                  <c:v>18</c:v>
                </c:pt>
                <c:pt idx="128">
                  <c:v>9</c:v>
                </c:pt>
                <c:pt idx="129">
                  <c:v>21</c:v>
                </c:pt>
                <c:pt idx="130">
                  <c:v>17</c:v>
                </c:pt>
                <c:pt idx="131">
                  <c:v>9</c:v>
                </c:pt>
                <c:pt idx="132">
                  <c:v>13</c:v>
                </c:pt>
                <c:pt idx="133">
                  <c:v>25</c:v>
                </c:pt>
                <c:pt idx="134">
                  <c:v>13</c:v>
                </c:pt>
                <c:pt idx="135">
                  <c:v>14</c:v>
                </c:pt>
                <c:pt idx="136">
                  <c:v>6</c:v>
                </c:pt>
                <c:pt idx="137">
                  <c:v>9</c:v>
                </c:pt>
                <c:pt idx="138">
                  <c:v>24</c:v>
                </c:pt>
                <c:pt idx="139">
                  <c:v>17</c:v>
                </c:pt>
                <c:pt idx="140">
                  <c:v>15</c:v>
                </c:pt>
                <c:pt idx="141">
                  <c:v>16</c:v>
                </c:pt>
                <c:pt idx="142">
                  <c:v>11</c:v>
                </c:pt>
                <c:pt idx="143">
                  <c:v>16</c:v>
                </c:pt>
                <c:pt idx="144">
                  <c:v>8</c:v>
                </c:pt>
                <c:pt idx="145">
                  <c:v>28</c:v>
                </c:pt>
                <c:pt idx="146">
                  <c:v>20</c:v>
                </c:pt>
                <c:pt idx="147">
                  <c:v>20</c:v>
                </c:pt>
                <c:pt idx="148">
                  <c:v>17</c:v>
                </c:pt>
                <c:pt idx="149">
                  <c:v>67</c:v>
                </c:pt>
                <c:pt idx="150">
                  <c:v>14</c:v>
                </c:pt>
                <c:pt idx="151">
                  <c:v>52</c:v>
                </c:pt>
                <c:pt idx="152">
                  <c:v>16</c:v>
                </c:pt>
                <c:pt idx="153">
                  <c:v>22</c:v>
                </c:pt>
                <c:pt idx="154">
                  <c:v>73</c:v>
                </c:pt>
                <c:pt idx="155">
                  <c:v>17</c:v>
                </c:pt>
                <c:pt idx="156">
                  <c:v>11</c:v>
                </c:pt>
                <c:pt idx="157">
                  <c:v>95</c:v>
                </c:pt>
                <c:pt idx="158">
                  <c:v>7</c:v>
                </c:pt>
                <c:pt idx="159">
                  <c:v>16</c:v>
                </c:pt>
                <c:pt idx="160">
                  <c:v>9</c:v>
                </c:pt>
                <c:pt idx="161">
                  <c:v>9</c:v>
                </c:pt>
                <c:pt idx="162">
                  <c:v>13</c:v>
                </c:pt>
                <c:pt idx="163">
                  <c:v>16</c:v>
                </c:pt>
                <c:pt idx="164">
                  <c:v>10</c:v>
                </c:pt>
                <c:pt idx="165">
                  <c:v>1</c:v>
                </c:pt>
                <c:pt idx="166">
                  <c:v>16</c:v>
                </c:pt>
                <c:pt idx="167">
                  <c:v>16</c:v>
                </c:pt>
                <c:pt idx="168">
                  <c:v>6</c:v>
                </c:pt>
                <c:pt idx="169">
                  <c:v>14</c:v>
                </c:pt>
                <c:pt idx="170">
                  <c:v>25</c:v>
                </c:pt>
                <c:pt idx="171">
                  <c:v>12</c:v>
                </c:pt>
                <c:pt idx="172">
                  <c:v>8</c:v>
                </c:pt>
                <c:pt idx="173">
                  <c:v>21</c:v>
                </c:pt>
                <c:pt idx="174">
                  <c:v>14</c:v>
                </c:pt>
                <c:pt idx="175">
                  <c:v>75</c:v>
                </c:pt>
                <c:pt idx="176">
                  <c:v>11</c:v>
                </c:pt>
                <c:pt idx="177">
                  <c:v>14</c:v>
                </c:pt>
                <c:pt idx="178">
                  <c:v>7</c:v>
                </c:pt>
                <c:pt idx="179">
                  <c:v>32</c:v>
                </c:pt>
                <c:pt idx="180">
                  <c:v>12</c:v>
                </c:pt>
                <c:pt idx="181">
                  <c:v>19</c:v>
                </c:pt>
                <c:pt idx="182">
                  <c:v>18</c:v>
                </c:pt>
                <c:pt idx="183">
                  <c:v>6</c:v>
                </c:pt>
                <c:pt idx="184">
                  <c:v>14</c:v>
                </c:pt>
                <c:pt idx="185">
                  <c:v>17</c:v>
                </c:pt>
                <c:pt idx="186">
                  <c:v>21</c:v>
                </c:pt>
                <c:pt idx="187">
                  <c:v>10</c:v>
                </c:pt>
                <c:pt idx="188">
                  <c:v>15</c:v>
                </c:pt>
                <c:pt idx="189">
                  <c:v>15</c:v>
                </c:pt>
                <c:pt idx="190">
                  <c:v>17</c:v>
                </c:pt>
                <c:pt idx="191">
                  <c:v>16</c:v>
                </c:pt>
                <c:pt idx="192">
                  <c:v>15</c:v>
                </c:pt>
                <c:pt idx="193">
                  <c:v>12</c:v>
                </c:pt>
                <c:pt idx="194">
                  <c:v>19</c:v>
                </c:pt>
                <c:pt idx="195">
                  <c:v>7</c:v>
                </c:pt>
                <c:pt idx="196">
                  <c:v>68</c:v>
                </c:pt>
                <c:pt idx="197">
                  <c:v>16</c:v>
                </c:pt>
                <c:pt idx="198">
                  <c:v>88</c:v>
                </c:pt>
                <c:pt idx="199">
                  <c:v>29</c:v>
                </c:pt>
                <c:pt idx="200">
                  <c:v>22</c:v>
                </c:pt>
                <c:pt idx="201">
                  <c:v>5</c:v>
                </c:pt>
                <c:pt idx="202">
                  <c:v>19</c:v>
                </c:pt>
                <c:pt idx="203">
                  <c:v>62</c:v>
                </c:pt>
                <c:pt idx="204">
                  <c:v>17</c:v>
                </c:pt>
                <c:pt idx="205">
                  <c:v>13</c:v>
                </c:pt>
                <c:pt idx="206">
                  <c:v>12</c:v>
                </c:pt>
                <c:pt idx="207">
                  <c:v>15</c:v>
                </c:pt>
                <c:pt idx="208">
                  <c:v>20</c:v>
                </c:pt>
                <c:pt idx="209">
                  <c:v>21</c:v>
                </c:pt>
                <c:pt idx="210">
                  <c:v>18</c:v>
                </c:pt>
                <c:pt idx="211">
                  <c:v>15</c:v>
                </c:pt>
                <c:pt idx="212">
                  <c:v>9</c:v>
                </c:pt>
                <c:pt idx="213">
                  <c:v>14</c:v>
                </c:pt>
                <c:pt idx="214">
                  <c:v>15</c:v>
                </c:pt>
                <c:pt idx="215">
                  <c:v>14</c:v>
                </c:pt>
                <c:pt idx="216">
                  <c:v>7</c:v>
                </c:pt>
                <c:pt idx="217">
                  <c:v>12</c:v>
                </c:pt>
                <c:pt idx="218">
                  <c:v>21</c:v>
                </c:pt>
                <c:pt idx="219">
                  <c:v>4</c:v>
                </c:pt>
                <c:pt idx="220">
                  <c:v>0</c:v>
                </c:pt>
                <c:pt idx="221">
                  <c:v>11</c:v>
                </c:pt>
                <c:pt idx="222">
                  <c:v>21</c:v>
                </c:pt>
                <c:pt idx="223">
                  <c:v>17</c:v>
                </c:pt>
                <c:pt idx="224">
                  <c:v>19</c:v>
                </c:pt>
                <c:pt idx="225">
                  <c:v>23</c:v>
                </c:pt>
                <c:pt idx="226">
                  <c:v>10</c:v>
                </c:pt>
                <c:pt idx="227">
                  <c:v>20</c:v>
                </c:pt>
                <c:pt idx="228">
                  <c:v>8</c:v>
                </c:pt>
                <c:pt idx="229">
                  <c:v>12</c:v>
                </c:pt>
                <c:pt idx="230">
                  <c:v>20</c:v>
                </c:pt>
                <c:pt idx="231">
                  <c:v>16</c:v>
                </c:pt>
                <c:pt idx="232">
                  <c:v>5</c:v>
                </c:pt>
                <c:pt idx="233">
                  <c:v>17</c:v>
                </c:pt>
                <c:pt idx="234">
                  <c:v>6</c:v>
                </c:pt>
                <c:pt idx="235">
                  <c:v>10</c:v>
                </c:pt>
                <c:pt idx="236">
                  <c:v>15</c:v>
                </c:pt>
                <c:pt idx="237">
                  <c:v>12</c:v>
                </c:pt>
                <c:pt idx="238">
                  <c:v>12</c:v>
                </c:pt>
                <c:pt idx="239">
                  <c:v>10</c:v>
                </c:pt>
                <c:pt idx="240">
                  <c:v>19</c:v>
                </c:pt>
                <c:pt idx="241">
                  <c:v>19</c:v>
                </c:pt>
                <c:pt idx="242">
                  <c:v>11</c:v>
                </c:pt>
                <c:pt idx="243">
                  <c:v>18</c:v>
                </c:pt>
                <c:pt idx="244">
                  <c:v>23</c:v>
                </c:pt>
                <c:pt idx="245">
                  <c:v>6</c:v>
                </c:pt>
                <c:pt idx="246">
                  <c:v>20</c:v>
                </c:pt>
                <c:pt idx="247">
                  <c:v>39</c:v>
                </c:pt>
                <c:pt idx="248">
                  <c:v>11</c:v>
                </c:pt>
                <c:pt idx="249">
                  <c:v>16</c:v>
                </c:pt>
                <c:pt idx="250">
                  <c:v>13</c:v>
                </c:pt>
                <c:pt idx="251">
                  <c:v>8</c:v>
                </c:pt>
                <c:pt idx="252">
                  <c:v>9</c:v>
                </c:pt>
                <c:pt idx="253">
                  <c:v>7</c:v>
                </c:pt>
                <c:pt idx="254">
                  <c:v>16</c:v>
                </c:pt>
                <c:pt idx="255">
                  <c:v>19</c:v>
                </c:pt>
                <c:pt idx="256">
                  <c:v>19</c:v>
                </c:pt>
                <c:pt idx="257">
                  <c:v>17</c:v>
                </c:pt>
                <c:pt idx="258">
                  <c:v>15</c:v>
                </c:pt>
                <c:pt idx="259">
                  <c:v>18</c:v>
                </c:pt>
                <c:pt idx="260">
                  <c:v>17</c:v>
                </c:pt>
                <c:pt idx="261">
                  <c:v>19</c:v>
                </c:pt>
                <c:pt idx="262">
                  <c:v>15</c:v>
                </c:pt>
                <c:pt idx="263">
                  <c:v>20</c:v>
                </c:pt>
                <c:pt idx="264">
                  <c:v>13</c:v>
                </c:pt>
                <c:pt idx="265">
                  <c:v>6</c:v>
                </c:pt>
                <c:pt idx="266">
                  <c:v>17</c:v>
                </c:pt>
                <c:pt idx="267">
                  <c:v>18</c:v>
                </c:pt>
                <c:pt idx="268">
                  <c:v>9</c:v>
                </c:pt>
                <c:pt idx="269">
                  <c:v>34</c:v>
                </c:pt>
                <c:pt idx="270">
                  <c:v>18</c:v>
                </c:pt>
                <c:pt idx="271">
                  <c:v>16</c:v>
                </c:pt>
                <c:pt idx="272">
                  <c:v>5</c:v>
                </c:pt>
                <c:pt idx="273">
                  <c:v>21</c:v>
                </c:pt>
                <c:pt idx="274">
                  <c:v>14</c:v>
                </c:pt>
                <c:pt idx="275">
                  <c:v>18</c:v>
                </c:pt>
                <c:pt idx="276">
                  <c:v>6</c:v>
                </c:pt>
                <c:pt idx="277">
                  <c:v>8</c:v>
                </c:pt>
                <c:pt idx="278">
                  <c:v>18</c:v>
                </c:pt>
                <c:pt idx="279">
                  <c:v>19</c:v>
                </c:pt>
                <c:pt idx="280">
                  <c:v>12</c:v>
                </c:pt>
                <c:pt idx="281">
                  <c:v>15</c:v>
                </c:pt>
                <c:pt idx="282">
                  <c:v>9</c:v>
                </c:pt>
                <c:pt idx="283">
                  <c:v>17</c:v>
                </c:pt>
                <c:pt idx="284">
                  <c:v>14</c:v>
                </c:pt>
                <c:pt idx="285">
                  <c:v>30</c:v>
                </c:pt>
                <c:pt idx="286">
                  <c:v>11</c:v>
                </c:pt>
                <c:pt idx="287">
                  <c:v>10</c:v>
                </c:pt>
                <c:pt idx="288">
                  <c:v>3</c:v>
                </c:pt>
                <c:pt idx="289">
                  <c:v>15</c:v>
                </c:pt>
                <c:pt idx="290">
                  <c:v>12</c:v>
                </c:pt>
                <c:pt idx="291">
                  <c:v>20</c:v>
                </c:pt>
                <c:pt idx="292">
                  <c:v>12</c:v>
                </c:pt>
                <c:pt idx="293">
                  <c:v>20</c:v>
                </c:pt>
                <c:pt idx="294">
                  <c:v>19</c:v>
                </c:pt>
                <c:pt idx="295">
                  <c:v>30</c:v>
                </c:pt>
                <c:pt idx="296">
                  <c:v>24</c:v>
                </c:pt>
                <c:pt idx="297">
                  <c:v>15</c:v>
                </c:pt>
                <c:pt idx="298">
                  <c:v>0</c:v>
                </c:pt>
                <c:pt idx="299">
                  <c:v>6</c:v>
                </c:pt>
                <c:pt idx="300">
                  <c:v>10</c:v>
                </c:pt>
                <c:pt idx="301">
                  <c:v>75</c:v>
                </c:pt>
                <c:pt idx="302">
                  <c:v>25</c:v>
                </c:pt>
                <c:pt idx="303">
                  <c:v>27</c:v>
                </c:pt>
                <c:pt idx="304">
                  <c:v>6</c:v>
                </c:pt>
                <c:pt idx="305">
                  <c:v>10</c:v>
                </c:pt>
                <c:pt idx="306">
                  <c:v>17</c:v>
                </c:pt>
                <c:pt idx="307">
                  <c:v>21</c:v>
                </c:pt>
                <c:pt idx="308">
                  <c:v>11</c:v>
                </c:pt>
                <c:pt idx="309">
                  <c:v>15</c:v>
                </c:pt>
                <c:pt idx="310">
                  <c:v>30</c:v>
                </c:pt>
                <c:pt idx="311">
                  <c:v>23</c:v>
                </c:pt>
                <c:pt idx="312">
                  <c:v>53</c:v>
                </c:pt>
                <c:pt idx="313">
                  <c:v>18</c:v>
                </c:pt>
                <c:pt idx="314">
                  <c:v>20</c:v>
                </c:pt>
                <c:pt idx="315">
                  <c:v>31</c:v>
                </c:pt>
                <c:pt idx="316">
                  <c:v>70</c:v>
                </c:pt>
                <c:pt idx="317">
                  <c:v>20</c:v>
                </c:pt>
                <c:pt idx="318">
                  <c:v>6</c:v>
                </c:pt>
                <c:pt idx="319">
                  <c:v>24</c:v>
                </c:pt>
                <c:pt idx="320">
                  <c:v>25</c:v>
                </c:pt>
                <c:pt idx="321">
                  <c:v>28</c:v>
                </c:pt>
                <c:pt idx="322">
                  <c:v>12</c:v>
                </c:pt>
                <c:pt idx="323">
                  <c:v>21</c:v>
                </c:pt>
                <c:pt idx="324">
                  <c:v>14</c:v>
                </c:pt>
                <c:pt idx="325">
                  <c:v>20</c:v>
                </c:pt>
                <c:pt idx="326">
                  <c:v>9</c:v>
                </c:pt>
                <c:pt idx="327">
                  <c:v>19</c:v>
                </c:pt>
                <c:pt idx="328">
                  <c:v>17</c:v>
                </c:pt>
                <c:pt idx="329">
                  <c:v>17</c:v>
                </c:pt>
                <c:pt idx="330">
                  <c:v>10</c:v>
                </c:pt>
                <c:pt idx="331">
                  <c:v>19</c:v>
                </c:pt>
                <c:pt idx="332">
                  <c:v>11</c:v>
                </c:pt>
                <c:pt idx="333">
                  <c:v>8</c:v>
                </c:pt>
                <c:pt idx="334">
                  <c:v>7</c:v>
                </c:pt>
                <c:pt idx="335">
                  <c:v>21</c:v>
                </c:pt>
                <c:pt idx="336">
                  <c:v>8</c:v>
                </c:pt>
                <c:pt idx="337">
                  <c:v>5</c:v>
                </c:pt>
                <c:pt idx="338">
                  <c:v>19</c:v>
                </c:pt>
                <c:pt idx="339">
                  <c:v>16</c:v>
                </c:pt>
                <c:pt idx="340">
                  <c:v>13</c:v>
                </c:pt>
                <c:pt idx="341">
                  <c:v>18</c:v>
                </c:pt>
                <c:pt idx="342">
                  <c:v>32</c:v>
                </c:pt>
                <c:pt idx="343">
                  <c:v>21</c:v>
                </c:pt>
                <c:pt idx="344">
                  <c:v>14</c:v>
                </c:pt>
                <c:pt idx="345">
                  <c:v>14</c:v>
                </c:pt>
                <c:pt idx="346">
                  <c:v>17</c:v>
                </c:pt>
                <c:pt idx="347">
                  <c:v>17</c:v>
                </c:pt>
                <c:pt idx="348">
                  <c:v>6</c:v>
                </c:pt>
                <c:pt idx="349">
                  <c:v>33</c:v>
                </c:pt>
                <c:pt idx="350">
                  <c:v>6</c:v>
                </c:pt>
                <c:pt idx="351">
                  <c:v>8</c:v>
                </c:pt>
                <c:pt idx="352">
                  <c:v>10</c:v>
                </c:pt>
                <c:pt idx="353">
                  <c:v>8</c:v>
                </c:pt>
                <c:pt idx="354">
                  <c:v>14</c:v>
                </c:pt>
                <c:pt idx="355">
                  <c:v>11</c:v>
                </c:pt>
                <c:pt idx="356">
                  <c:v>0</c:v>
                </c:pt>
                <c:pt idx="357">
                  <c:v>14</c:v>
                </c:pt>
                <c:pt idx="358">
                  <c:v>20</c:v>
                </c:pt>
                <c:pt idx="359">
                  <c:v>3</c:v>
                </c:pt>
                <c:pt idx="360">
                  <c:v>60</c:v>
                </c:pt>
                <c:pt idx="361">
                  <c:v>38</c:v>
                </c:pt>
                <c:pt idx="362">
                  <c:v>16</c:v>
                </c:pt>
                <c:pt idx="363">
                  <c:v>5</c:v>
                </c:pt>
                <c:pt idx="364">
                  <c:v>5</c:v>
                </c:pt>
                <c:pt idx="365">
                  <c:v>26</c:v>
                </c:pt>
                <c:pt idx="366">
                  <c:v>17</c:v>
                </c:pt>
                <c:pt idx="367">
                  <c:v>44</c:v>
                </c:pt>
                <c:pt idx="368">
                  <c:v>46</c:v>
                </c:pt>
                <c:pt idx="369">
                  <c:v>28</c:v>
                </c:pt>
                <c:pt idx="370">
                  <c:v>15</c:v>
                </c:pt>
                <c:pt idx="371">
                  <c:v>8</c:v>
                </c:pt>
                <c:pt idx="372">
                  <c:v>5</c:v>
                </c:pt>
                <c:pt idx="373">
                  <c:v>18</c:v>
                </c:pt>
                <c:pt idx="374">
                  <c:v>20</c:v>
                </c:pt>
                <c:pt idx="375">
                  <c:v>10</c:v>
                </c:pt>
                <c:pt idx="376">
                  <c:v>17</c:v>
                </c:pt>
                <c:pt idx="377">
                  <c:v>37</c:v>
                </c:pt>
                <c:pt idx="378">
                  <c:v>13</c:v>
                </c:pt>
                <c:pt idx="379">
                  <c:v>13</c:v>
                </c:pt>
                <c:pt idx="380">
                  <c:v>14</c:v>
                </c:pt>
                <c:pt idx="381">
                  <c:v>13</c:v>
                </c:pt>
                <c:pt idx="382">
                  <c:v>15</c:v>
                </c:pt>
                <c:pt idx="383">
                  <c:v>23</c:v>
                </c:pt>
                <c:pt idx="384">
                  <c:v>71</c:v>
                </c:pt>
                <c:pt idx="385">
                  <c:v>13</c:v>
                </c:pt>
                <c:pt idx="386">
                  <c:v>63</c:v>
                </c:pt>
                <c:pt idx="387">
                  <c:v>1</c:v>
                </c:pt>
                <c:pt idx="388">
                  <c:v>27</c:v>
                </c:pt>
                <c:pt idx="389">
                  <c:v>21</c:v>
                </c:pt>
                <c:pt idx="390">
                  <c:v>14</c:v>
                </c:pt>
                <c:pt idx="391">
                  <c:v>3</c:v>
                </c:pt>
                <c:pt idx="392">
                  <c:v>30</c:v>
                </c:pt>
                <c:pt idx="393">
                  <c:v>33</c:v>
                </c:pt>
                <c:pt idx="394">
                  <c:v>25</c:v>
                </c:pt>
                <c:pt idx="395">
                  <c:v>17</c:v>
                </c:pt>
                <c:pt idx="396">
                  <c:v>33</c:v>
                </c:pt>
                <c:pt idx="397">
                  <c:v>24</c:v>
                </c:pt>
                <c:pt idx="398">
                  <c:v>63</c:v>
                </c:pt>
                <c:pt idx="399">
                  <c:v>1</c:v>
                </c:pt>
                <c:pt idx="400">
                  <c:v>75</c:v>
                </c:pt>
                <c:pt idx="401">
                  <c:v>27</c:v>
                </c:pt>
                <c:pt idx="402">
                  <c:v>24</c:v>
                </c:pt>
                <c:pt idx="403">
                  <c:v>51</c:v>
                </c:pt>
                <c:pt idx="404">
                  <c:v>15</c:v>
                </c:pt>
                <c:pt idx="405">
                  <c:v>22</c:v>
                </c:pt>
                <c:pt idx="406">
                  <c:v>24</c:v>
                </c:pt>
                <c:pt idx="407">
                  <c:v>18</c:v>
                </c:pt>
                <c:pt idx="408">
                  <c:v>29</c:v>
                </c:pt>
                <c:pt idx="409">
                  <c:v>17</c:v>
                </c:pt>
                <c:pt idx="410">
                  <c:v>13</c:v>
                </c:pt>
                <c:pt idx="411">
                  <c:v>48</c:v>
                </c:pt>
                <c:pt idx="412">
                  <c:v>16</c:v>
                </c:pt>
                <c:pt idx="413">
                  <c:v>28</c:v>
                </c:pt>
                <c:pt idx="414">
                  <c:v>22</c:v>
                </c:pt>
                <c:pt idx="415">
                  <c:v>27</c:v>
                </c:pt>
                <c:pt idx="416">
                  <c:v>3</c:v>
                </c:pt>
                <c:pt idx="417">
                  <c:v>22</c:v>
                </c:pt>
                <c:pt idx="418">
                  <c:v>15</c:v>
                </c:pt>
                <c:pt idx="419">
                  <c:v>41</c:v>
                </c:pt>
                <c:pt idx="420">
                  <c:v>60</c:v>
                </c:pt>
                <c:pt idx="421">
                  <c:v>23</c:v>
                </c:pt>
                <c:pt idx="422">
                  <c:v>36</c:v>
                </c:pt>
                <c:pt idx="423">
                  <c:v>21</c:v>
                </c:pt>
                <c:pt idx="424">
                  <c:v>80</c:v>
                </c:pt>
                <c:pt idx="425">
                  <c:v>6</c:v>
                </c:pt>
                <c:pt idx="426">
                  <c:v>25</c:v>
                </c:pt>
                <c:pt idx="427">
                  <c:v>0</c:v>
                </c:pt>
                <c:pt idx="428">
                  <c:v>65</c:v>
                </c:pt>
                <c:pt idx="429">
                  <c:v>19</c:v>
                </c:pt>
                <c:pt idx="430">
                  <c:v>33</c:v>
                </c:pt>
                <c:pt idx="431">
                  <c:v>5</c:v>
                </c:pt>
                <c:pt idx="432">
                  <c:v>18</c:v>
                </c:pt>
                <c:pt idx="433">
                  <c:v>24</c:v>
                </c:pt>
                <c:pt idx="434">
                  <c:v>27</c:v>
                </c:pt>
                <c:pt idx="435">
                  <c:v>37</c:v>
                </c:pt>
                <c:pt idx="436">
                  <c:v>22</c:v>
                </c:pt>
                <c:pt idx="437">
                  <c:v>4</c:v>
                </c:pt>
                <c:pt idx="438">
                  <c:v>4</c:v>
                </c:pt>
                <c:pt idx="439">
                  <c:v>18</c:v>
                </c:pt>
                <c:pt idx="440">
                  <c:v>35</c:v>
                </c:pt>
                <c:pt idx="441">
                  <c:v>18</c:v>
                </c:pt>
                <c:pt idx="442">
                  <c:v>4</c:v>
                </c:pt>
                <c:pt idx="443">
                  <c:v>0</c:v>
                </c:pt>
                <c:pt idx="444">
                  <c:v>15</c:v>
                </c:pt>
                <c:pt idx="445">
                  <c:v>2</c:v>
                </c:pt>
                <c:pt idx="446">
                  <c:v>21</c:v>
                </c:pt>
                <c:pt idx="447">
                  <c:v>27</c:v>
                </c:pt>
                <c:pt idx="448">
                  <c:v>82</c:v>
                </c:pt>
                <c:pt idx="449">
                  <c:v>21</c:v>
                </c:pt>
                <c:pt idx="450">
                  <c:v>28</c:v>
                </c:pt>
                <c:pt idx="451">
                  <c:v>40</c:v>
                </c:pt>
                <c:pt idx="452">
                  <c:v>23</c:v>
                </c:pt>
                <c:pt idx="453">
                  <c:v>42</c:v>
                </c:pt>
                <c:pt idx="454">
                  <c:v>11</c:v>
                </c:pt>
                <c:pt idx="455">
                  <c:v>74</c:v>
                </c:pt>
                <c:pt idx="456">
                  <c:v>33</c:v>
                </c:pt>
                <c:pt idx="457">
                  <c:v>17</c:v>
                </c:pt>
                <c:pt idx="458">
                  <c:v>25</c:v>
                </c:pt>
                <c:pt idx="459">
                  <c:v>12</c:v>
                </c:pt>
                <c:pt idx="460">
                  <c:v>11</c:v>
                </c:pt>
                <c:pt idx="461">
                  <c:v>62</c:v>
                </c:pt>
                <c:pt idx="462">
                  <c:v>9</c:v>
                </c:pt>
                <c:pt idx="463">
                  <c:v>20</c:v>
                </c:pt>
                <c:pt idx="464">
                  <c:v>24</c:v>
                </c:pt>
                <c:pt idx="465">
                  <c:v>8</c:v>
                </c:pt>
                <c:pt idx="466">
                  <c:v>30</c:v>
                </c:pt>
                <c:pt idx="467">
                  <c:v>56</c:v>
                </c:pt>
                <c:pt idx="468">
                  <c:v>16</c:v>
                </c:pt>
                <c:pt idx="469">
                  <c:v>20</c:v>
                </c:pt>
                <c:pt idx="470">
                  <c:v>9</c:v>
                </c:pt>
                <c:pt idx="471">
                  <c:v>4</c:v>
                </c:pt>
                <c:pt idx="472">
                  <c:v>10</c:v>
                </c:pt>
                <c:pt idx="473">
                  <c:v>71</c:v>
                </c:pt>
                <c:pt idx="474">
                  <c:v>88</c:v>
                </c:pt>
                <c:pt idx="475">
                  <c:v>11</c:v>
                </c:pt>
                <c:pt idx="476">
                  <c:v>10</c:v>
                </c:pt>
                <c:pt idx="477">
                  <c:v>10</c:v>
                </c:pt>
                <c:pt idx="478">
                  <c:v>25</c:v>
                </c:pt>
                <c:pt idx="479">
                  <c:v>19</c:v>
                </c:pt>
                <c:pt idx="480">
                  <c:v>20</c:v>
                </c:pt>
                <c:pt idx="481">
                  <c:v>24</c:v>
                </c:pt>
                <c:pt idx="482">
                  <c:v>27</c:v>
                </c:pt>
                <c:pt idx="483">
                  <c:v>20</c:v>
                </c:pt>
                <c:pt idx="484">
                  <c:v>11</c:v>
                </c:pt>
                <c:pt idx="485">
                  <c:v>2</c:v>
                </c:pt>
                <c:pt idx="486">
                  <c:v>18</c:v>
                </c:pt>
                <c:pt idx="487">
                  <c:v>12</c:v>
                </c:pt>
                <c:pt idx="488">
                  <c:v>13</c:v>
                </c:pt>
                <c:pt idx="489">
                  <c:v>69</c:v>
                </c:pt>
                <c:pt idx="490">
                  <c:v>23</c:v>
                </c:pt>
                <c:pt idx="491">
                  <c:v>31</c:v>
                </c:pt>
                <c:pt idx="492">
                  <c:v>21</c:v>
                </c:pt>
                <c:pt idx="493">
                  <c:v>85</c:v>
                </c:pt>
                <c:pt idx="494">
                  <c:v>27</c:v>
                </c:pt>
                <c:pt idx="495">
                  <c:v>30</c:v>
                </c:pt>
                <c:pt idx="496">
                  <c:v>18</c:v>
                </c:pt>
                <c:pt idx="497">
                  <c:v>20</c:v>
                </c:pt>
                <c:pt idx="498">
                  <c:v>1</c:v>
                </c:pt>
                <c:pt idx="499">
                  <c:v>19</c:v>
                </c:pt>
                <c:pt idx="500">
                  <c:v>9</c:v>
                </c:pt>
                <c:pt idx="501">
                  <c:v>19</c:v>
                </c:pt>
                <c:pt idx="502">
                  <c:v>17</c:v>
                </c:pt>
                <c:pt idx="503">
                  <c:v>18</c:v>
                </c:pt>
                <c:pt idx="504">
                  <c:v>19</c:v>
                </c:pt>
                <c:pt idx="505">
                  <c:v>37</c:v>
                </c:pt>
                <c:pt idx="506">
                  <c:v>14</c:v>
                </c:pt>
                <c:pt idx="507">
                  <c:v>24</c:v>
                </c:pt>
                <c:pt idx="508">
                  <c:v>20</c:v>
                </c:pt>
                <c:pt idx="509">
                  <c:v>0</c:v>
                </c:pt>
                <c:pt idx="510">
                  <c:v>59</c:v>
                </c:pt>
                <c:pt idx="511">
                  <c:v>54</c:v>
                </c:pt>
                <c:pt idx="512">
                  <c:v>5</c:v>
                </c:pt>
                <c:pt idx="513">
                  <c:v>30</c:v>
                </c:pt>
                <c:pt idx="514">
                  <c:v>12</c:v>
                </c:pt>
                <c:pt idx="515">
                  <c:v>21</c:v>
                </c:pt>
                <c:pt idx="516">
                  <c:v>14</c:v>
                </c:pt>
                <c:pt idx="517">
                  <c:v>32</c:v>
                </c:pt>
                <c:pt idx="518">
                  <c:v>7</c:v>
                </c:pt>
                <c:pt idx="519">
                  <c:v>16</c:v>
                </c:pt>
                <c:pt idx="520">
                  <c:v>16</c:v>
                </c:pt>
                <c:pt idx="521">
                  <c:v>74</c:v>
                </c:pt>
                <c:pt idx="522">
                  <c:v>86</c:v>
                </c:pt>
                <c:pt idx="523">
                  <c:v>74</c:v>
                </c:pt>
                <c:pt idx="524">
                  <c:v>21</c:v>
                </c:pt>
                <c:pt idx="525">
                  <c:v>34</c:v>
                </c:pt>
                <c:pt idx="526">
                  <c:v>57</c:v>
                </c:pt>
                <c:pt idx="527">
                  <c:v>16</c:v>
                </c:pt>
                <c:pt idx="528">
                  <c:v>9</c:v>
                </c:pt>
                <c:pt idx="529">
                  <c:v>15</c:v>
                </c:pt>
                <c:pt idx="530">
                  <c:v>17</c:v>
                </c:pt>
                <c:pt idx="531">
                  <c:v>27</c:v>
                </c:pt>
                <c:pt idx="532">
                  <c:v>12</c:v>
                </c:pt>
                <c:pt idx="533">
                  <c:v>26</c:v>
                </c:pt>
                <c:pt idx="534">
                  <c:v>28</c:v>
                </c:pt>
                <c:pt idx="535">
                  <c:v>57</c:v>
                </c:pt>
                <c:pt idx="536">
                  <c:v>76</c:v>
                </c:pt>
                <c:pt idx="537">
                  <c:v>14</c:v>
                </c:pt>
                <c:pt idx="538">
                  <c:v>8</c:v>
                </c:pt>
                <c:pt idx="539">
                  <c:v>11</c:v>
                </c:pt>
                <c:pt idx="540">
                  <c:v>89</c:v>
                </c:pt>
                <c:pt idx="541">
                  <c:v>2</c:v>
                </c:pt>
                <c:pt idx="542">
                  <c:v>73</c:v>
                </c:pt>
                <c:pt idx="543">
                  <c:v>19</c:v>
                </c:pt>
                <c:pt idx="544">
                  <c:v>13</c:v>
                </c:pt>
                <c:pt idx="545">
                  <c:v>33</c:v>
                </c:pt>
                <c:pt idx="546">
                  <c:v>7</c:v>
                </c:pt>
                <c:pt idx="547">
                  <c:v>35</c:v>
                </c:pt>
                <c:pt idx="548">
                  <c:v>16</c:v>
                </c:pt>
                <c:pt idx="549">
                  <c:v>22</c:v>
                </c:pt>
                <c:pt idx="550">
                  <c:v>64</c:v>
                </c:pt>
                <c:pt idx="551">
                  <c:v>16</c:v>
                </c:pt>
                <c:pt idx="552">
                  <c:v>13</c:v>
                </c:pt>
                <c:pt idx="553">
                  <c:v>10</c:v>
                </c:pt>
                <c:pt idx="554">
                  <c:v>25</c:v>
                </c:pt>
                <c:pt idx="555">
                  <c:v>25</c:v>
                </c:pt>
                <c:pt idx="556">
                  <c:v>16</c:v>
                </c:pt>
                <c:pt idx="557">
                  <c:v>15</c:v>
                </c:pt>
                <c:pt idx="558">
                  <c:v>18</c:v>
                </c:pt>
                <c:pt idx="559">
                  <c:v>7</c:v>
                </c:pt>
                <c:pt idx="560">
                  <c:v>13</c:v>
                </c:pt>
                <c:pt idx="561">
                  <c:v>23</c:v>
                </c:pt>
                <c:pt idx="562">
                  <c:v>16</c:v>
                </c:pt>
                <c:pt idx="563">
                  <c:v>27</c:v>
                </c:pt>
                <c:pt idx="564">
                  <c:v>24</c:v>
                </c:pt>
                <c:pt idx="565">
                  <c:v>30</c:v>
                </c:pt>
                <c:pt idx="566">
                  <c:v>30</c:v>
                </c:pt>
                <c:pt idx="567">
                  <c:v>55</c:v>
                </c:pt>
                <c:pt idx="568">
                  <c:v>10</c:v>
                </c:pt>
                <c:pt idx="569">
                  <c:v>71</c:v>
                </c:pt>
                <c:pt idx="570">
                  <c:v>31</c:v>
                </c:pt>
                <c:pt idx="571">
                  <c:v>14</c:v>
                </c:pt>
                <c:pt idx="572">
                  <c:v>33</c:v>
                </c:pt>
                <c:pt idx="573">
                  <c:v>20</c:v>
                </c:pt>
                <c:pt idx="574">
                  <c:v>12</c:v>
                </c:pt>
                <c:pt idx="575">
                  <c:v>17</c:v>
                </c:pt>
                <c:pt idx="576">
                  <c:v>13</c:v>
                </c:pt>
                <c:pt idx="577">
                  <c:v>24</c:v>
                </c:pt>
                <c:pt idx="578">
                  <c:v>15</c:v>
                </c:pt>
                <c:pt idx="579">
                  <c:v>32</c:v>
                </c:pt>
                <c:pt idx="580">
                  <c:v>21</c:v>
                </c:pt>
                <c:pt idx="581">
                  <c:v>20</c:v>
                </c:pt>
                <c:pt idx="582">
                  <c:v>26</c:v>
                </c:pt>
                <c:pt idx="583">
                  <c:v>20</c:v>
                </c:pt>
                <c:pt idx="584">
                  <c:v>20</c:v>
                </c:pt>
                <c:pt idx="585">
                  <c:v>21</c:v>
                </c:pt>
                <c:pt idx="586">
                  <c:v>72</c:v>
                </c:pt>
                <c:pt idx="587">
                  <c:v>21</c:v>
                </c:pt>
                <c:pt idx="588">
                  <c:v>64</c:v>
                </c:pt>
                <c:pt idx="589">
                  <c:v>23</c:v>
                </c:pt>
                <c:pt idx="590">
                  <c:v>19</c:v>
                </c:pt>
                <c:pt idx="591">
                  <c:v>14</c:v>
                </c:pt>
                <c:pt idx="592">
                  <c:v>80</c:v>
                </c:pt>
                <c:pt idx="593">
                  <c:v>17</c:v>
                </c:pt>
                <c:pt idx="594">
                  <c:v>8</c:v>
                </c:pt>
                <c:pt idx="595">
                  <c:v>27</c:v>
                </c:pt>
                <c:pt idx="596">
                  <c:v>83</c:v>
                </c:pt>
                <c:pt idx="597">
                  <c:v>21</c:v>
                </c:pt>
                <c:pt idx="598">
                  <c:v>26</c:v>
                </c:pt>
                <c:pt idx="599">
                  <c:v>8</c:v>
                </c:pt>
                <c:pt idx="600">
                  <c:v>19</c:v>
                </c:pt>
                <c:pt idx="601">
                  <c:v>17</c:v>
                </c:pt>
                <c:pt idx="602">
                  <c:v>35</c:v>
                </c:pt>
                <c:pt idx="603">
                  <c:v>5</c:v>
                </c:pt>
                <c:pt idx="604">
                  <c:v>16</c:v>
                </c:pt>
                <c:pt idx="605">
                  <c:v>69</c:v>
                </c:pt>
                <c:pt idx="606">
                  <c:v>37</c:v>
                </c:pt>
                <c:pt idx="607">
                  <c:v>18</c:v>
                </c:pt>
                <c:pt idx="608">
                  <c:v>24</c:v>
                </c:pt>
                <c:pt idx="609">
                  <c:v>16</c:v>
                </c:pt>
                <c:pt idx="610">
                  <c:v>13</c:v>
                </c:pt>
                <c:pt idx="611">
                  <c:v>52</c:v>
                </c:pt>
                <c:pt idx="612">
                  <c:v>21</c:v>
                </c:pt>
                <c:pt idx="613">
                  <c:v>29</c:v>
                </c:pt>
                <c:pt idx="614">
                  <c:v>21</c:v>
                </c:pt>
                <c:pt idx="615">
                  <c:v>23</c:v>
                </c:pt>
                <c:pt idx="616">
                  <c:v>9</c:v>
                </c:pt>
                <c:pt idx="617">
                  <c:v>8</c:v>
                </c:pt>
                <c:pt idx="618">
                  <c:v>33</c:v>
                </c:pt>
                <c:pt idx="619">
                  <c:v>22</c:v>
                </c:pt>
                <c:pt idx="620">
                  <c:v>22</c:v>
                </c:pt>
                <c:pt idx="621">
                  <c:v>68</c:v>
                </c:pt>
                <c:pt idx="622">
                  <c:v>27</c:v>
                </c:pt>
                <c:pt idx="623">
                  <c:v>59</c:v>
                </c:pt>
                <c:pt idx="624">
                  <c:v>6</c:v>
                </c:pt>
                <c:pt idx="625">
                  <c:v>75</c:v>
                </c:pt>
                <c:pt idx="626">
                  <c:v>66</c:v>
                </c:pt>
                <c:pt idx="627">
                  <c:v>17</c:v>
                </c:pt>
                <c:pt idx="628">
                  <c:v>63</c:v>
                </c:pt>
                <c:pt idx="629">
                  <c:v>18</c:v>
                </c:pt>
                <c:pt idx="630">
                  <c:v>16</c:v>
                </c:pt>
                <c:pt idx="631">
                  <c:v>53</c:v>
                </c:pt>
                <c:pt idx="632">
                  <c:v>20</c:v>
                </c:pt>
                <c:pt idx="633">
                  <c:v>23</c:v>
                </c:pt>
                <c:pt idx="634">
                  <c:v>17</c:v>
                </c:pt>
                <c:pt idx="635">
                  <c:v>26</c:v>
                </c:pt>
                <c:pt idx="636">
                  <c:v>52</c:v>
                </c:pt>
                <c:pt idx="637">
                  <c:v>24</c:v>
                </c:pt>
                <c:pt idx="638">
                  <c:v>22</c:v>
                </c:pt>
                <c:pt idx="639">
                  <c:v>33</c:v>
                </c:pt>
                <c:pt idx="640">
                  <c:v>27</c:v>
                </c:pt>
                <c:pt idx="641">
                  <c:v>18</c:v>
                </c:pt>
                <c:pt idx="642">
                  <c:v>25</c:v>
                </c:pt>
                <c:pt idx="643">
                  <c:v>27</c:v>
                </c:pt>
                <c:pt idx="644">
                  <c:v>27</c:v>
                </c:pt>
                <c:pt idx="645">
                  <c:v>10</c:v>
                </c:pt>
                <c:pt idx="646">
                  <c:v>13</c:v>
                </c:pt>
                <c:pt idx="647">
                  <c:v>18</c:v>
                </c:pt>
                <c:pt idx="648">
                  <c:v>18</c:v>
                </c:pt>
                <c:pt idx="649">
                  <c:v>21</c:v>
                </c:pt>
                <c:pt idx="650">
                  <c:v>17</c:v>
                </c:pt>
                <c:pt idx="651">
                  <c:v>39</c:v>
                </c:pt>
                <c:pt idx="652">
                  <c:v>20</c:v>
                </c:pt>
                <c:pt idx="653">
                  <c:v>9</c:v>
                </c:pt>
                <c:pt idx="654">
                  <c:v>53</c:v>
                </c:pt>
                <c:pt idx="655">
                  <c:v>65</c:v>
                </c:pt>
                <c:pt idx="656">
                  <c:v>19</c:v>
                </c:pt>
                <c:pt idx="657">
                  <c:v>34</c:v>
                </c:pt>
                <c:pt idx="658">
                  <c:v>19</c:v>
                </c:pt>
                <c:pt idx="659">
                  <c:v>21</c:v>
                </c:pt>
                <c:pt idx="660">
                  <c:v>20</c:v>
                </c:pt>
                <c:pt idx="661">
                  <c:v>62</c:v>
                </c:pt>
                <c:pt idx="662">
                  <c:v>35</c:v>
                </c:pt>
                <c:pt idx="663">
                  <c:v>19</c:v>
                </c:pt>
                <c:pt idx="664">
                  <c:v>7</c:v>
                </c:pt>
                <c:pt idx="665">
                  <c:v>15</c:v>
                </c:pt>
                <c:pt idx="666">
                  <c:v>21</c:v>
                </c:pt>
                <c:pt idx="667">
                  <c:v>20</c:v>
                </c:pt>
                <c:pt idx="668">
                  <c:v>10</c:v>
                </c:pt>
                <c:pt idx="669">
                  <c:v>72</c:v>
                </c:pt>
                <c:pt idx="670">
                  <c:v>14</c:v>
                </c:pt>
                <c:pt idx="671">
                  <c:v>19</c:v>
                </c:pt>
                <c:pt idx="672">
                  <c:v>13</c:v>
                </c:pt>
                <c:pt idx="673">
                  <c:v>36</c:v>
                </c:pt>
                <c:pt idx="674">
                  <c:v>66</c:v>
                </c:pt>
                <c:pt idx="675">
                  <c:v>88</c:v>
                </c:pt>
                <c:pt idx="676">
                  <c:v>18</c:v>
                </c:pt>
                <c:pt idx="677">
                  <c:v>79</c:v>
                </c:pt>
                <c:pt idx="678">
                  <c:v>14</c:v>
                </c:pt>
                <c:pt idx="679">
                  <c:v>14</c:v>
                </c:pt>
                <c:pt idx="680">
                  <c:v>90</c:v>
                </c:pt>
                <c:pt idx="681">
                  <c:v>21</c:v>
                </c:pt>
                <c:pt idx="682">
                  <c:v>21</c:v>
                </c:pt>
                <c:pt idx="683">
                  <c:v>32</c:v>
                </c:pt>
                <c:pt idx="684">
                  <c:v>16</c:v>
                </c:pt>
                <c:pt idx="685">
                  <c:v>39</c:v>
                </c:pt>
                <c:pt idx="686">
                  <c:v>51</c:v>
                </c:pt>
                <c:pt idx="687">
                  <c:v>30</c:v>
                </c:pt>
                <c:pt idx="688">
                  <c:v>66</c:v>
                </c:pt>
                <c:pt idx="689">
                  <c:v>35</c:v>
                </c:pt>
                <c:pt idx="690">
                  <c:v>32</c:v>
                </c:pt>
                <c:pt idx="691">
                  <c:v>19</c:v>
                </c:pt>
                <c:pt idx="692">
                  <c:v>0</c:v>
                </c:pt>
                <c:pt idx="693">
                  <c:v>31</c:v>
                </c:pt>
                <c:pt idx="694">
                  <c:v>19</c:v>
                </c:pt>
                <c:pt idx="695">
                  <c:v>8</c:v>
                </c:pt>
                <c:pt idx="696">
                  <c:v>11</c:v>
                </c:pt>
                <c:pt idx="697">
                  <c:v>37</c:v>
                </c:pt>
                <c:pt idx="698">
                  <c:v>23</c:v>
                </c:pt>
                <c:pt idx="699">
                  <c:v>20</c:v>
                </c:pt>
                <c:pt idx="700">
                  <c:v>24</c:v>
                </c:pt>
                <c:pt idx="701">
                  <c:v>26</c:v>
                </c:pt>
                <c:pt idx="702">
                  <c:v>18</c:v>
                </c:pt>
                <c:pt idx="703">
                  <c:v>22</c:v>
                </c:pt>
                <c:pt idx="704">
                  <c:v>29</c:v>
                </c:pt>
                <c:pt idx="705">
                  <c:v>33</c:v>
                </c:pt>
                <c:pt idx="706">
                  <c:v>62</c:v>
                </c:pt>
                <c:pt idx="707">
                  <c:v>80</c:v>
                </c:pt>
                <c:pt idx="708">
                  <c:v>29</c:v>
                </c:pt>
                <c:pt idx="709">
                  <c:v>73</c:v>
                </c:pt>
                <c:pt idx="710">
                  <c:v>13</c:v>
                </c:pt>
                <c:pt idx="711">
                  <c:v>32</c:v>
                </c:pt>
                <c:pt idx="712">
                  <c:v>62</c:v>
                </c:pt>
                <c:pt idx="713">
                  <c:v>18</c:v>
                </c:pt>
                <c:pt idx="714">
                  <c:v>14</c:v>
                </c:pt>
                <c:pt idx="715">
                  <c:v>12</c:v>
                </c:pt>
                <c:pt idx="716">
                  <c:v>15</c:v>
                </c:pt>
                <c:pt idx="717">
                  <c:v>23</c:v>
                </c:pt>
                <c:pt idx="718">
                  <c:v>14</c:v>
                </c:pt>
                <c:pt idx="719">
                  <c:v>33</c:v>
                </c:pt>
                <c:pt idx="720">
                  <c:v>41</c:v>
                </c:pt>
                <c:pt idx="721">
                  <c:v>32</c:v>
                </c:pt>
                <c:pt idx="722">
                  <c:v>11</c:v>
                </c:pt>
                <c:pt idx="723">
                  <c:v>30</c:v>
                </c:pt>
                <c:pt idx="724">
                  <c:v>39</c:v>
                </c:pt>
                <c:pt idx="725">
                  <c:v>16</c:v>
                </c:pt>
                <c:pt idx="726">
                  <c:v>21</c:v>
                </c:pt>
                <c:pt idx="727">
                  <c:v>71</c:v>
                </c:pt>
                <c:pt idx="728">
                  <c:v>8</c:v>
                </c:pt>
                <c:pt idx="729">
                  <c:v>31</c:v>
                </c:pt>
                <c:pt idx="730">
                  <c:v>72</c:v>
                </c:pt>
                <c:pt idx="731">
                  <c:v>62</c:v>
                </c:pt>
                <c:pt idx="732">
                  <c:v>63</c:v>
                </c:pt>
                <c:pt idx="733">
                  <c:v>20</c:v>
                </c:pt>
                <c:pt idx="734">
                  <c:v>9</c:v>
                </c:pt>
                <c:pt idx="735">
                  <c:v>19</c:v>
                </c:pt>
                <c:pt idx="736">
                  <c:v>27</c:v>
                </c:pt>
                <c:pt idx="737">
                  <c:v>13</c:v>
                </c:pt>
                <c:pt idx="738">
                  <c:v>16</c:v>
                </c:pt>
                <c:pt idx="739">
                  <c:v>29</c:v>
                </c:pt>
                <c:pt idx="740">
                  <c:v>29</c:v>
                </c:pt>
                <c:pt idx="741">
                  <c:v>12</c:v>
                </c:pt>
                <c:pt idx="742">
                  <c:v>7</c:v>
                </c:pt>
                <c:pt idx="743">
                  <c:v>20</c:v>
                </c:pt>
                <c:pt idx="744">
                  <c:v>9</c:v>
                </c:pt>
                <c:pt idx="745">
                  <c:v>32</c:v>
                </c:pt>
                <c:pt idx="746">
                  <c:v>11</c:v>
                </c:pt>
                <c:pt idx="747">
                  <c:v>73</c:v>
                </c:pt>
                <c:pt idx="748">
                  <c:v>4</c:v>
                </c:pt>
                <c:pt idx="749">
                  <c:v>25</c:v>
                </c:pt>
                <c:pt idx="750">
                  <c:v>23</c:v>
                </c:pt>
                <c:pt idx="751">
                  <c:v>22</c:v>
                </c:pt>
                <c:pt idx="752">
                  <c:v>31</c:v>
                </c:pt>
                <c:pt idx="753">
                  <c:v>18</c:v>
                </c:pt>
                <c:pt idx="754">
                  <c:v>11</c:v>
                </c:pt>
                <c:pt idx="755">
                  <c:v>30</c:v>
                </c:pt>
                <c:pt idx="756">
                  <c:v>25</c:v>
                </c:pt>
                <c:pt idx="757">
                  <c:v>40</c:v>
                </c:pt>
                <c:pt idx="758">
                  <c:v>29</c:v>
                </c:pt>
                <c:pt idx="759">
                  <c:v>38</c:v>
                </c:pt>
                <c:pt idx="760">
                  <c:v>9</c:v>
                </c:pt>
                <c:pt idx="761">
                  <c:v>14</c:v>
                </c:pt>
                <c:pt idx="762">
                  <c:v>30</c:v>
                </c:pt>
                <c:pt idx="763">
                  <c:v>51</c:v>
                </c:pt>
                <c:pt idx="764">
                  <c:v>17</c:v>
                </c:pt>
                <c:pt idx="765">
                  <c:v>41</c:v>
                </c:pt>
                <c:pt idx="766">
                  <c:v>23</c:v>
                </c:pt>
                <c:pt idx="767">
                  <c:v>75</c:v>
                </c:pt>
                <c:pt idx="768">
                  <c:v>69</c:v>
                </c:pt>
                <c:pt idx="769">
                  <c:v>18</c:v>
                </c:pt>
                <c:pt idx="770">
                  <c:v>38</c:v>
                </c:pt>
                <c:pt idx="771">
                  <c:v>54</c:v>
                </c:pt>
                <c:pt idx="772">
                  <c:v>13</c:v>
                </c:pt>
                <c:pt idx="773">
                  <c:v>13</c:v>
                </c:pt>
                <c:pt idx="774">
                  <c:v>30</c:v>
                </c:pt>
                <c:pt idx="775">
                  <c:v>86</c:v>
                </c:pt>
                <c:pt idx="776">
                  <c:v>23</c:v>
                </c:pt>
              </c:numCache>
            </c:numRef>
          </c:xVal>
          <c:yVal>
            <c:numRef>
              <c:f>Part2_CalDDS!$E$2:$E$1001</c:f>
              <c:numCache>
                <c:formatCode>_("$"* #,##0_);_("$"* \(#,##0\);_("$"* "-"??_);_(@_)</c:formatCode>
                <c:ptCount val="777"/>
                <c:pt idx="0">
                  <c:v>1454</c:v>
                </c:pt>
                <c:pt idx="1">
                  <c:v>6400</c:v>
                </c:pt>
                <c:pt idx="2">
                  <c:v>4566</c:v>
                </c:pt>
                <c:pt idx="3">
                  <c:v>2887</c:v>
                </c:pt>
                <c:pt idx="4">
                  <c:v>3048</c:v>
                </c:pt>
                <c:pt idx="5">
                  <c:v>10047</c:v>
                </c:pt>
                <c:pt idx="6">
                  <c:v>1748</c:v>
                </c:pt>
                <c:pt idx="7">
                  <c:v>4515</c:v>
                </c:pt>
                <c:pt idx="8">
                  <c:v>1861</c:v>
                </c:pt>
                <c:pt idx="9">
                  <c:v>1598</c:v>
                </c:pt>
                <c:pt idx="10">
                  <c:v>46571</c:v>
                </c:pt>
                <c:pt idx="11">
                  <c:v>1066</c:v>
                </c:pt>
                <c:pt idx="12">
                  <c:v>2354</c:v>
                </c:pt>
                <c:pt idx="13">
                  <c:v>674</c:v>
                </c:pt>
                <c:pt idx="14">
                  <c:v>4968</c:v>
                </c:pt>
                <c:pt idx="15">
                  <c:v>2895</c:v>
                </c:pt>
                <c:pt idx="16">
                  <c:v>1915</c:v>
                </c:pt>
                <c:pt idx="17">
                  <c:v>4091</c:v>
                </c:pt>
                <c:pt idx="18">
                  <c:v>4798</c:v>
                </c:pt>
                <c:pt idx="19">
                  <c:v>3212</c:v>
                </c:pt>
                <c:pt idx="20">
                  <c:v>11998</c:v>
                </c:pt>
                <c:pt idx="21">
                  <c:v>50304</c:v>
                </c:pt>
                <c:pt idx="22">
                  <c:v>1130</c:v>
                </c:pt>
                <c:pt idx="23">
                  <c:v>38310</c:v>
                </c:pt>
                <c:pt idx="24">
                  <c:v>3638</c:v>
                </c:pt>
                <c:pt idx="25">
                  <c:v>7621</c:v>
                </c:pt>
                <c:pt idx="26">
                  <c:v>1423</c:v>
                </c:pt>
                <c:pt idx="27">
                  <c:v>4395</c:v>
                </c:pt>
                <c:pt idx="28">
                  <c:v>39521</c:v>
                </c:pt>
                <c:pt idx="29">
                  <c:v>15018</c:v>
                </c:pt>
                <c:pt idx="30">
                  <c:v>4525</c:v>
                </c:pt>
                <c:pt idx="31">
                  <c:v>3796</c:v>
                </c:pt>
                <c:pt idx="32">
                  <c:v>1363</c:v>
                </c:pt>
                <c:pt idx="33">
                  <c:v>60871</c:v>
                </c:pt>
                <c:pt idx="34">
                  <c:v>1713</c:v>
                </c:pt>
                <c:pt idx="35">
                  <c:v>49028</c:v>
                </c:pt>
                <c:pt idx="36">
                  <c:v>1977</c:v>
                </c:pt>
                <c:pt idx="37">
                  <c:v>3450</c:v>
                </c:pt>
                <c:pt idx="38">
                  <c:v>9161</c:v>
                </c:pt>
                <c:pt idx="39">
                  <c:v>3007</c:v>
                </c:pt>
                <c:pt idx="40">
                  <c:v>3269</c:v>
                </c:pt>
                <c:pt idx="41">
                  <c:v>40980</c:v>
                </c:pt>
                <c:pt idx="42">
                  <c:v>1196</c:v>
                </c:pt>
                <c:pt idx="43">
                  <c:v>51149</c:v>
                </c:pt>
                <c:pt idx="44">
                  <c:v>11038</c:v>
                </c:pt>
                <c:pt idx="45">
                  <c:v>12649</c:v>
                </c:pt>
                <c:pt idx="46">
                  <c:v>2664</c:v>
                </c:pt>
                <c:pt idx="47">
                  <c:v>59926</c:v>
                </c:pt>
                <c:pt idx="48">
                  <c:v>9972</c:v>
                </c:pt>
                <c:pt idx="49">
                  <c:v>5920</c:v>
                </c:pt>
                <c:pt idx="50">
                  <c:v>2549</c:v>
                </c:pt>
                <c:pt idx="51">
                  <c:v>2686</c:v>
                </c:pt>
                <c:pt idx="52">
                  <c:v>40277</c:v>
                </c:pt>
                <c:pt idx="53">
                  <c:v>4097</c:v>
                </c:pt>
                <c:pt idx="54">
                  <c:v>1957</c:v>
                </c:pt>
                <c:pt idx="55">
                  <c:v>1646</c:v>
                </c:pt>
                <c:pt idx="56">
                  <c:v>1525</c:v>
                </c:pt>
                <c:pt idx="57">
                  <c:v>1294</c:v>
                </c:pt>
                <c:pt idx="58">
                  <c:v>1435</c:v>
                </c:pt>
                <c:pt idx="59">
                  <c:v>8096</c:v>
                </c:pt>
                <c:pt idx="60">
                  <c:v>1123</c:v>
                </c:pt>
                <c:pt idx="61">
                  <c:v>3678</c:v>
                </c:pt>
                <c:pt idx="62">
                  <c:v>1740</c:v>
                </c:pt>
                <c:pt idx="63">
                  <c:v>15176</c:v>
                </c:pt>
                <c:pt idx="64">
                  <c:v>1963</c:v>
                </c:pt>
                <c:pt idx="65">
                  <c:v>4670</c:v>
                </c:pt>
                <c:pt idx="66">
                  <c:v>3394</c:v>
                </c:pt>
                <c:pt idx="67">
                  <c:v>995</c:v>
                </c:pt>
                <c:pt idx="68">
                  <c:v>16237</c:v>
                </c:pt>
                <c:pt idx="69">
                  <c:v>9592</c:v>
                </c:pt>
                <c:pt idx="70">
                  <c:v>2119</c:v>
                </c:pt>
                <c:pt idx="71">
                  <c:v>10292</c:v>
                </c:pt>
                <c:pt idx="72">
                  <c:v>3501</c:v>
                </c:pt>
                <c:pt idx="73">
                  <c:v>741</c:v>
                </c:pt>
                <c:pt idx="74">
                  <c:v>1016</c:v>
                </c:pt>
                <c:pt idx="75">
                  <c:v>1582</c:v>
                </c:pt>
                <c:pt idx="76">
                  <c:v>4723</c:v>
                </c:pt>
                <c:pt idx="77">
                  <c:v>2460</c:v>
                </c:pt>
                <c:pt idx="78">
                  <c:v>5718</c:v>
                </c:pt>
                <c:pt idx="79">
                  <c:v>1028</c:v>
                </c:pt>
                <c:pt idx="80">
                  <c:v>3141</c:v>
                </c:pt>
                <c:pt idx="81">
                  <c:v>3585</c:v>
                </c:pt>
                <c:pt idx="82">
                  <c:v>2039</c:v>
                </c:pt>
                <c:pt idx="83">
                  <c:v>43858</c:v>
                </c:pt>
                <c:pt idx="84">
                  <c:v>762</c:v>
                </c:pt>
                <c:pt idx="85">
                  <c:v>7081</c:v>
                </c:pt>
                <c:pt idx="86">
                  <c:v>2291</c:v>
                </c:pt>
                <c:pt idx="87">
                  <c:v>2359</c:v>
                </c:pt>
                <c:pt idx="88">
                  <c:v>40809</c:v>
                </c:pt>
                <c:pt idx="89">
                  <c:v>2211</c:v>
                </c:pt>
                <c:pt idx="90">
                  <c:v>11527</c:v>
                </c:pt>
                <c:pt idx="91">
                  <c:v>3959</c:v>
                </c:pt>
                <c:pt idx="92">
                  <c:v>966</c:v>
                </c:pt>
                <c:pt idx="93">
                  <c:v>7339</c:v>
                </c:pt>
                <c:pt idx="94">
                  <c:v>3378</c:v>
                </c:pt>
                <c:pt idx="95">
                  <c:v>4513</c:v>
                </c:pt>
                <c:pt idx="96">
                  <c:v>1473</c:v>
                </c:pt>
                <c:pt idx="97">
                  <c:v>4112</c:v>
                </c:pt>
                <c:pt idx="98">
                  <c:v>4653</c:v>
                </c:pt>
                <c:pt idx="99">
                  <c:v>7667</c:v>
                </c:pt>
                <c:pt idx="100">
                  <c:v>12587</c:v>
                </c:pt>
                <c:pt idx="101">
                  <c:v>668</c:v>
                </c:pt>
                <c:pt idx="102">
                  <c:v>6218</c:v>
                </c:pt>
                <c:pt idx="103">
                  <c:v>2015</c:v>
                </c:pt>
                <c:pt idx="104">
                  <c:v>8948</c:v>
                </c:pt>
                <c:pt idx="105">
                  <c:v>561</c:v>
                </c:pt>
                <c:pt idx="106">
                  <c:v>59622</c:v>
                </c:pt>
                <c:pt idx="107">
                  <c:v>4921</c:v>
                </c:pt>
                <c:pt idx="108">
                  <c:v>35088</c:v>
                </c:pt>
                <c:pt idx="109">
                  <c:v>1084</c:v>
                </c:pt>
                <c:pt idx="110">
                  <c:v>3695</c:v>
                </c:pt>
                <c:pt idx="111">
                  <c:v>1767</c:v>
                </c:pt>
                <c:pt idx="112">
                  <c:v>36738</c:v>
                </c:pt>
                <c:pt idx="113">
                  <c:v>49502</c:v>
                </c:pt>
                <c:pt idx="114">
                  <c:v>3522</c:v>
                </c:pt>
                <c:pt idx="115">
                  <c:v>2776</c:v>
                </c:pt>
                <c:pt idx="116">
                  <c:v>10150</c:v>
                </c:pt>
                <c:pt idx="117">
                  <c:v>7605</c:v>
                </c:pt>
                <c:pt idx="118">
                  <c:v>2954</c:v>
                </c:pt>
                <c:pt idx="119">
                  <c:v>38031</c:v>
                </c:pt>
                <c:pt idx="120">
                  <c:v>1173</c:v>
                </c:pt>
                <c:pt idx="121">
                  <c:v>12083</c:v>
                </c:pt>
                <c:pt idx="122">
                  <c:v>4533</c:v>
                </c:pt>
                <c:pt idx="123">
                  <c:v>62097</c:v>
                </c:pt>
                <c:pt idx="124">
                  <c:v>11935</c:v>
                </c:pt>
                <c:pt idx="125">
                  <c:v>11034</c:v>
                </c:pt>
                <c:pt idx="126">
                  <c:v>10294</c:v>
                </c:pt>
                <c:pt idx="127">
                  <c:v>16310</c:v>
                </c:pt>
                <c:pt idx="128">
                  <c:v>2490</c:v>
                </c:pt>
                <c:pt idx="129">
                  <c:v>11811</c:v>
                </c:pt>
                <c:pt idx="130">
                  <c:v>3945</c:v>
                </c:pt>
                <c:pt idx="131">
                  <c:v>2781</c:v>
                </c:pt>
                <c:pt idx="132">
                  <c:v>1597</c:v>
                </c:pt>
                <c:pt idx="133">
                  <c:v>48684</c:v>
                </c:pt>
                <c:pt idx="134">
                  <c:v>4975</c:v>
                </c:pt>
                <c:pt idx="135">
                  <c:v>3257</c:v>
                </c:pt>
                <c:pt idx="136">
                  <c:v>2247</c:v>
                </c:pt>
                <c:pt idx="137">
                  <c:v>1758</c:v>
                </c:pt>
                <c:pt idx="138">
                  <c:v>51392</c:v>
                </c:pt>
                <c:pt idx="139">
                  <c:v>4495</c:v>
                </c:pt>
                <c:pt idx="140">
                  <c:v>2744</c:v>
                </c:pt>
                <c:pt idx="141">
                  <c:v>3561</c:v>
                </c:pt>
                <c:pt idx="142">
                  <c:v>2906</c:v>
                </c:pt>
                <c:pt idx="143">
                  <c:v>5637</c:v>
                </c:pt>
                <c:pt idx="144">
                  <c:v>2904</c:v>
                </c:pt>
                <c:pt idx="145">
                  <c:v>39147</c:v>
                </c:pt>
                <c:pt idx="146">
                  <c:v>6397</c:v>
                </c:pt>
                <c:pt idx="147">
                  <c:v>7446</c:v>
                </c:pt>
                <c:pt idx="148">
                  <c:v>5163</c:v>
                </c:pt>
                <c:pt idx="149">
                  <c:v>52243</c:v>
                </c:pt>
                <c:pt idx="150">
                  <c:v>4774</c:v>
                </c:pt>
                <c:pt idx="151">
                  <c:v>51777</c:v>
                </c:pt>
                <c:pt idx="152">
                  <c:v>3141</c:v>
                </c:pt>
                <c:pt idx="153">
                  <c:v>36691</c:v>
                </c:pt>
                <c:pt idx="154">
                  <c:v>53211</c:v>
                </c:pt>
                <c:pt idx="155">
                  <c:v>5040</c:v>
                </c:pt>
                <c:pt idx="156">
                  <c:v>2167</c:v>
                </c:pt>
                <c:pt idx="157">
                  <c:v>55187</c:v>
                </c:pt>
                <c:pt idx="158">
                  <c:v>2797</c:v>
                </c:pt>
                <c:pt idx="159">
                  <c:v>4975</c:v>
                </c:pt>
                <c:pt idx="160">
                  <c:v>2755</c:v>
                </c:pt>
                <c:pt idx="161">
                  <c:v>2016</c:v>
                </c:pt>
                <c:pt idx="162">
                  <c:v>2810</c:v>
                </c:pt>
                <c:pt idx="163">
                  <c:v>3745</c:v>
                </c:pt>
                <c:pt idx="164">
                  <c:v>2854</c:v>
                </c:pt>
                <c:pt idx="165">
                  <c:v>1592</c:v>
                </c:pt>
                <c:pt idx="166">
                  <c:v>3445</c:v>
                </c:pt>
                <c:pt idx="167">
                  <c:v>4696</c:v>
                </c:pt>
                <c:pt idx="168">
                  <c:v>4163</c:v>
                </c:pt>
                <c:pt idx="169">
                  <c:v>4608</c:v>
                </c:pt>
                <c:pt idx="170">
                  <c:v>46951</c:v>
                </c:pt>
                <c:pt idx="171">
                  <c:v>3562</c:v>
                </c:pt>
                <c:pt idx="172">
                  <c:v>2746</c:v>
                </c:pt>
                <c:pt idx="173">
                  <c:v>8469</c:v>
                </c:pt>
                <c:pt idx="174">
                  <c:v>4219</c:v>
                </c:pt>
                <c:pt idx="175">
                  <c:v>52147</c:v>
                </c:pt>
                <c:pt idx="176">
                  <c:v>1363</c:v>
                </c:pt>
                <c:pt idx="177">
                  <c:v>3113</c:v>
                </c:pt>
                <c:pt idx="178">
                  <c:v>776</c:v>
                </c:pt>
                <c:pt idx="179">
                  <c:v>36827</c:v>
                </c:pt>
                <c:pt idx="180">
                  <c:v>3539</c:v>
                </c:pt>
                <c:pt idx="181">
                  <c:v>10230</c:v>
                </c:pt>
                <c:pt idx="182">
                  <c:v>8869</c:v>
                </c:pt>
                <c:pt idx="183">
                  <c:v>3379</c:v>
                </c:pt>
                <c:pt idx="184">
                  <c:v>3580</c:v>
                </c:pt>
                <c:pt idx="185">
                  <c:v>5228</c:v>
                </c:pt>
                <c:pt idx="186">
                  <c:v>13129</c:v>
                </c:pt>
                <c:pt idx="187">
                  <c:v>4152</c:v>
                </c:pt>
                <c:pt idx="188">
                  <c:v>3190</c:v>
                </c:pt>
                <c:pt idx="189">
                  <c:v>3443</c:v>
                </c:pt>
                <c:pt idx="190">
                  <c:v>2184</c:v>
                </c:pt>
                <c:pt idx="191">
                  <c:v>5412</c:v>
                </c:pt>
                <c:pt idx="192">
                  <c:v>4527</c:v>
                </c:pt>
                <c:pt idx="193">
                  <c:v>3003</c:v>
                </c:pt>
                <c:pt idx="194">
                  <c:v>7122</c:v>
                </c:pt>
                <c:pt idx="195">
                  <c:v>2191</c:v>
                </c:pt>
                <c:pt idx="196">
                  <c:v>57363</c:v>
                </c:pt>
                <c:pt idx="197">
                  <c:v>1641</c:v>
                </c:pt>
                <c:pt idx="198">
                  <c:v>54875</c:v>
                </c:pt>
                <c:pt idx="199">
                  <c:v>42041</c:v>
                </c:pt>
                <c:pt idx="200">
                  <c:v>47954</c:v>
                </c:pt>
                <c:pt idx="201">
                  <c:v>1632</c:v>
                </c:pt>
                <c:pt idx="202">
                  <c:v>11986</c:v>
                </c:pt>
                <c:pt idx="203">
                  <c:v>47420</c:v>
                </c:pt>
                <c:pt idx="204">
                  <c:v>4300</c:v>
                </c:pt>
                <c:pt idx="205">
                  <c:v>4787</c:v>
                </c:pt>
                <c:pt idx="206">
                  <c:v>2339</c:v>
                </c:pt>
                <c:pt idx="207">
                  <c:v>4345</c:v>
                </c:pt>
                <c:pt idx="208">
                  <c:v>9061</c:v>
                </c:pt>
                <c:pt idx="209">
                  <c:v>4931</c:v>
                </c:pt>
                <c:pt idx="210">
                  <c:v>11479</c:v>
                </c:pt>
                <c:pt idx="211">
                  <c:v>4798</c:v>
                </c:pt>
                <c:pt idx="212">
                  <c:v>1713</c:v>
                </c:pt>
                <c:pt idx="213">
                  <c:v>2462</c:v>
                </c:pt>
                <c:pt idx="214">
                  <c:v>4884</c:v>
                </c:pt>
                <c:pt idx="215">
                  <c:v>4058</c:v>
                </c:pt>
                <c:pt idx="216">
                  <c:v>3464</c:v>
                </c:pt>
                <c:pt idx="217">
                  <c:v>1539</c:v>
                </c:pt>
                <c:pt idx="218">
                  <c:v>5066</c:v>
                </c:pt>
                <c:pt idx="219">
                  <c:v>456</c:v>
                </c:pt>
                <c:pt idx="220">
                  <c:v>1147</c:v>
                </c:pt>
                <c:pt idx="221">
                  <c:v>1286</c:v>
                </c:pt>
                <c:pt idx="222">
                  <c:v>4731</c:v>
                </c:pt>
                <c:pt idx="223">
                  <c:v>3629</c:v>
                </c:pt>
                <c:pt idx="224">
                  <c:v>5616</c:v>
                </c:pt>
                <c:pt idx="225">
                  <c:v>27845</c:v>
                </c:pt>
                <c:pt idx="226">
                  <c:v>2409</c:v>
                </c:pt>
                <c:pt idx="227">
                  <c:v>10247</c:v>
                </c:pt>
                <c:pt idx="228">
                  <c:v>2153</c:v>
                </c:pt>
                <c:pt idx="229">
                  <c:v>847</c:v>
                </c:pt>
                <c:pt idx="230">
                  <c:v>11470</c:v>
                </c:pt>
                <c:pt idx="231">
                  <c:v>3698</c:v>
                </c:pt>
                <c:pt idx="232">
                  <c:v>2308</c:v>
                </c:pt>
                <c:pt idx="233">
                  <c:v>4527</c:v>
                </c:pt>
                <c:pt idx="234">
                  <c:v>1254</c:v>
                </c:pt>
                <c:pt idx="235">
                  <c:v>1110</c:v>
                </c:pt>
                <c:pt idx="236">
                  <c:v>3423</c:v>
                </c:pt>
                <c:pt idx="237">
                  <c:v>1184</c:v>
                </c:pt>
                <c:pt idx="238">
                  <c:v>1689</c:v>
                </c:pt>
                <c:pt idx="239">
                  <c:v>1560</c:v>
                </c:pt>
                <c:pt idx="240">
                  <c:v>14729</c:v>
                </c:pt>
                <c:pt idx="241">
                  <c:v>14926</c:v>
                </c:pt>
                <c:pt idx="242">
                  <c:v>2143</c:v>
                </c:pt>
                <c:pt idx="243">
                  <c:v>8511</c:v>
                </c:pt>
                <c:pt idx="244">
                  <c:v>49548</c:v>
                </c:pt>
                <c:pt idx="245">
                  <c:v>2493</c:v>
                </c:pt>
                <c:pt idx="246">
                  <c:v>13579</c:v>
                </c:pt>
                <c:pt idx="247">
                  <c:v>36621</c:v>
                </c:pt>
                <c:pt idx="248">
                  <c:v>2498</c:v>
                </c:pt>
                <c:pt idx="249">
                  <c:v>2797</c:v>
                </c:pt>
                <c:pt idx="250">
                  <c:v>4963</c:v>
                </c:pt>
                <c:pt idx="251">
                  <c:v>1417</c:v>
                </c:pt>
                <c:pt idx="252">
                  <c:v>2643</c:v>
                </c:pt>
                <c:pt idx="253">
                  <c:v>1903</c:v>
                </c:pt>
                <c:pt idx="254">
                  <c:v>2760</c:v>
                </c:pt>
                <c:pt idx="255">
                  <c:v>6690</c:v>
                </c:pt>
                <c:pt idx="256">
                  <c:v>11629</c:v>
                </c:pt>
                <c:pt idx="257">
                  <c:v>5055</c:v>
                </c:pt>
                <c:pt idx="258">
                  <c:v>3911</c:v>
                </c:pt>
                <c:pt idx="259">
                  <c:v>3225</c:v>
                </c:pt>
                <c:pt idx="260">
                  <c:v>4152</c:v>
                </c:pt>
                <c:pt idx="261">
                  <c:v>7805</c:v>
                </c:pt>
                <c:pt idx="262">
                  <c:v>3702</c:v>
                </c:pt>
                <c:pt idx="263">
                  <c:v>16677</c:v>
                </c:pt>
                <c:pt idx="264">
                  <c:v>3395</c:v>
                </c:pt>
                <c:pt idx="265">
                  <c:v>3099</c:v>
                </c:pt>
                <c:pt idx="266">
                  <c:v>3088</c:v>
                </c:pt>
                <c:pt idx="267">
                  <c:v>14221</c:v>
                </c:pt>
                <c:pt idx="268">
                  <c:v>2634</c:v>
                </c:pt>
                <c:pt idx="269">
                  <c:v>45409</c:v>
                </c:pt>
                <c:pt idx="270">
                  <c:v>3829</c:v>
                </c:pt>
                <c:pt idx="271">
                  <c:v>3060</c:v>
                </c:pt>
                <c:pt idx="272">
                  <c:v>1702</c:v>
                </c:pt>
                <c:pt idx="273">
                  <c:v>6977</c:v>
                </c:pt>
                <c:pt idx="274">
                  <c:v>3633</c:v>
                </c:pt>
                <c:pt idx="275">
                  <c:v>12603</c:v>
                </c:pt>
                <c:pt idx="276">
                  <c:v>3203</c:v>
                </c:pt>
                <c:pt idx="277">
                  <c:v>1609</c:v>
                </c:pt>
                <c:pt idx="278">
                  <c:v>11176</c:v>
                </c:pt>
                <c:pt idx="279">
                  <c:v>11180</c:v>
                </c:pt>
                <c:pt idx="280">
                  <c:v>1416</c:v>
                </c:pt>
                <c:pt idx="281">
                  <c:v>3677</c:v>
                </c:pt>
                <c:pt idx="282">
                  <c:v>1661</c:v>
                </c:pt>
                <c:pt idx="283">
                  <c:v>5347</c:v>
                </c:pt>
                <c:pt idx="284">
                  <c:v>4378</c:v>
                </c:pt>
                <c:pt idx="285">
                  <c:v>40572</c:v>
                </c:pt>
                <c:pt idx="286">
                  <c:v>793</c:v>
                </c:pt>
                <c:pt idx="287">
                  <c:v>2865</c:v>
                </c:pt>
                <c:pt idx="288">
                  <c:v>1167</c:v>
                </c:pt>
                <c:pt idx="289">
                  <c:v>5304</c:v>
                </c:pt>
                <c:pt idx="290">
                  <c:v>1776</c:v>
                </c:pt>
                <c:pt idx="291">
                  <c:v>15711</c:v>
                </c:pt>
                <c:pt idx="292">
                  <c:v>3704</c:v>
                </c:pt>
                <c:pt idx="293">
                  <c:v>9162</c:v>
                </c:pt>
                <c:pt idx="294">
                  <c:v>9341</c:v>
                </c:pt>
                <c:pt idx="295">
                  <c:v>48121</c:v>
                </c:pt>
                <c:pt idx="296">
                  <c:v>37367</c:v>
                </c:pt>
                <c:pt idx="297">
                  <c:v>4260</c:v>
                </c:pt>
                <c:pt idx="298">
                  <c:v>1458</c:v>
                </c:pt>
                <c:pt idx="299">
                  <c:v>1804</c:v>
                </c:pt>
                <c:pt idx="300">
                  <c:v>1934</c:v>
                </c:pt>
                <c:pt idx="301">
                  <c:v>65581</c:v>
                </c:pt>
                <c:pt idx="302">
                  <c:v>46437</c:v>
                </c:pt>
                <c:pt idx="303">
                  <c:v>37708</c:v>
                </c:pt>
                <c:pt idx="304">
                  <c:v>987</c:v>
                </c:pt>
                <c:pt idx="305">
                  <c:v>1590</c:v>
                </c:pt>
                <c:pt idx="306">
                  <c:v>4496</c:v>
                </c:pt>
                <c:pt idx="307">
                  <c:v>13468</c:v>
                </c:pt>
                <c:pt idx="308">
                  <c:v>1905</c:v>
                </c:pt>
                <c:pt idx="309">
                  <c:v>3251</c:v>
                </c:pt>
                <c:pt idx="310">
                  <c:v>42070</c:v>
                </c:pt>
                <c:pt idx="311">
                  <c:v>40159</c:v>
                </c:pt>
                <c:pt idx="312">
                  <c:v>50176</c:v>
                </c:pt>
                <c:pt idx="313">
                  <c:v>10439</c:v>
                </c:pt>
                <c:pt idx="314">
                  <c:v>11810</c:v>
                </c:pt>
                <c:pt idx="315">
                  <c:v>34021</c:v>
                </c:pt>
                <c:pt idx="316">
                  <c:v>50230</c:v>
                </c:pt>
                <c:pt idx="317">
                  <c:v>9932</c:v>
                </c:pt>
                <c:pt idx="318">
                  <c:v>2924</c:v>
                </c:pt>
                <c:pt idx="319">
                  <c:v>37663</c:v>
                </c:pt>
                <c:pt idx="320">
                  <c:v>31943</c:v>
                </c:pt>
                <c:pt idx="321">
                  <c:v>26178</c:v>
                </c:pt>
                <c:pt idx="322">
                  <c:v>3732</c:v>
                </c:pt>
                <c:pt idx="323">
                  <c:v>8957</c:v>
                </c:pt>
                <c:pt idx="324">
                  <c:v>5280</c:v>
                </c:pt>
                <c:pt idx="325">
                  <c:v>3749</c:v>
                </c:pt>
                <c:pt idx="326">
                  <c:v>1416</c:v>
                </c:pt>
                <c:pt idx="327">
                  <c:v>9760</c:v>
                </c:pt>
                <c:pt idx="328">
                  <c:v>3747</c:v>
                </c:pt>
                <c:pt idx="329">
                  <c:v>4221</c:v>
                </c:pt>
                <c:pt idx="330">
                  <c:v>3060</c:v>
                </c:pt>
                <c:pt idx="331">
                  <c:v>12523</c:v>
                </c:pt>
                <c:pt idx="332">
                  <c:v>2839</c:v>
                </c:pt>
                <c:pt idx="333">
                  <c:v>1714</c:v>
                </c:pt>
                <c:pt idx="334">
                  <c:v>1875</c:v>
                </c:pt>
                <c:pt idx="335">
                  <c:v>8707</c:v>
                </c:pt>
                <c:pt idx="336">
                  <c:v>2717</c:v>
                </c:pt>
                <c:pt idx="337">
                  <c:v>1684</c:v>
                </c:pt>
                <c:pt idx="338">
                  <c:v>5988</c:v>
                </c:pt>
                <c:pt idx="339">
                  <c:v>3702</c:v>
                </c:pt>
                <c:pt idx="340">
                  <c:v>3887</c:v>
                </c:pt>
                <c:pt idx="341">
                  <c:v>13730</c:v>
                </c:pt>
                <c:pt idx="342">
                  <c:v>35435</c:v>
                </c:pt>
                <c:pt idx="343">
                  <c:v>6904</c:v>
                </c:pt>
                <c:pt idx="344">
                  <c:v>3703</c:v>
                </c:pt>
                <c:pt idx="345">
                  <c:v>3319</c:v>
                </c:pt>
                <c:pt idx="346">
                  <c:v>3478</c:v>
                </c:pt>
                <c:pt idx="347">
                  <c:v>4791</c:v>
                </c:pt>
                <c:pt idx="348">
                  <c:v>1898</c:v>
                </c:pt>
                <c:pt idx="349">
                  <c:v>40517</c:v>
                </c:pt>
                <c:pt idx="350">
                  <c:v>1997</c:v>
                </c:pt>
                <c:pt idx="351">
                  <c:v>1189</c:v>
                </c:pt>
                <c:pt idx="352">
                  <c:v>2484</c:v>
                </c:pt>
                <c:pt idx="353">
                  <c:v>2430</c:v>
                </c:pt>
                <c:pt idx="354">
                  <c:v>3792</c:v>
                </c:pt>
                <c:pt idx="355">
                  <c:v>2212</c:v>
                </c:pt>
                <c:pt idx="356">
                  <c:v>1360</c:v>
                </c:pt>
                <c:pt idx="357">
                  <c:v>4680</c:v>
                </c:pt>
                <c:pt idx="358">
                  <c:v>14003</c:v>
                </c:pt>
                <c:pt idx="359">
                  <c:v>1485</c:v>
                </c:pt>
                <c:pt idx="360">
                  <c:v>62717</c:v>
                </c:pt>
                <c:pt idx="361">
                  <c:v>37378</c:v>
                </c:pt>
                <c:pt idx="362">
                  <c:v>2104</c:v>
                </c:pt>
                <c:pt idx="363">
                  <c:v>222</c:v>
                </c:pt>
                <c:pt idx="364">
                  <c:v>1003</c:v>
                </c:pt>
                <c:pt idx="365">
                  <c:v>36440</c:v>
                </c:pt>
                <c:pt idx="366">
                  <c:v>5241</c:v>
                </c:pt>
                <c:pt idx="367">
                  <c:v>46144</c:v>
                </c:pt>
                <c:pt idx="368">
                  <c:v>52222</c:v>
                </c:pt>
                <c:pt idx="369">
                  <c:v>29588</c:v>
                </c:pt>
                <c:pt idx="370">
                  <c:v>3641</c:v>
                </c:pt>
                <c:pt idx="371">
                  <c:v>2441</c:v>
                </c:pt>
                <c:pt idx="372">
                  <c:v>1411</c:v>
                </c:pt>
                <c:pt idx="373">
                  <c:v>5298</c:v>
                </c:pt>
                <c:pt idx="374">
                  <c:v>7494</c:v>
                </c:pt>
                <c:pt idx="375">
                  <c:v>3638</c:v>
                </c:pt>
                <c:pt idx="376">
                  <c:v>2113</c:v>
                </c:pt>
                <c:pt idx="377">
                  <c:v>41924</c:v>
                </c:pt>
                <c:pt idx="378">
                  <c:v>4412</c:v>
                </c:pt>
                <c:pt idx="379">
                  <c:v>3915</c:v>
                </c:pt>
                <c:pt idx="380">
                  <c:v>5021</c:v>
                </c:pt>
                <c:pt idx="381">
                  <c:v>4154</c:v>
                </c:pt>
                <c:pt idx="382">
                  <c:v>2757</c:v>
                </c:pt>
                <c:pt idx="383">
                  <c:v>43025</c:v>
                </c:pt>
                <c:pt idx="384">
                  <c:v>57928</c:v>
                </c:pt>
                <c:pt idx="385">
                  <c:v>4002</c:v>
                </c:pt>
                <c:pt idx="386">
                  <c:v>56134</c:v>
                </c:pt>
                <c:pt idx="387">
                  <c:v>1070</c:v>
                </c:pt>
                <c:pt idx="388">
                  <c:v>35284</c:v>
                </c:pt>
                <c:pt idx="389">
                  <c:v>7219</c:v>
                </c:pt>
                <c:pt idx="390">
                  <c:v>4681</c:v>
                </c:pt>
                <c:pt idx="391">
                  <c:v>2750</c:v>
                </c:pt>
                <c:pt idx="392">
                  <c:v>46660</c:v>
                </c:pt>
                <c:pt idx="393">
                  <c:v>40781</c:v>
                </c:pt>
                <c:pt idx="394">
                  <c:v>36428</c:v>
                </c:pt>
                <c:pt idx="395">
                  <c:v>4046</c:v>
                </c:pt>
                <c:pt idx="396">
                  <c:v>36184</c:v>
                </c:pt>
                <c:pt idx="397">
                  <c:v>36901</c:v>
                </c:pt>
                <c:pt idx="398">
                  <c:v>50419</c:v>
                </c:pt>
                <c:pt idx="399">
                  <c:v>340</c:v>
                </c:pt>
                <c:pt idx="400">
                  <c:v>49239</c:v>
                </c:pt>
                <c:pt idx="401">
                  <c:v>36057</c:v>
                </c:pt>
                <c:pt idx="402">
                  <c:v>31512</c:v>
                </c:pt>
                <c:pt idx="403">
                  <c:v>54267</c:v>
                </c:pt>
                <c:pt idx="404">
                  <c:v>2029</c:v>
                </c:pt>
                <c:pt idx="405">
                  <c:v>37727</c:v>
                </c:pt>
                <c:pt idx="406">
                  <c:v>45412</c:v>
                </c:pt>
                <c:pt idx="407">
                  <c:v>13677</c:v>
                </c:pt>
                <c:pt idx="408">
                  <c:v>38236</c:v>
                </c:pt>
                <c:pt idx="409">
                  <c:v>6798</c:v>
                </c:pt>
                <c:pt idx="410">
                  <c:v>4052</c:v>
                </c:pt>
                <c:pt idx="411">
                  <c:v>49424</c:v>
                </c:pt>
                <c:pt idx="412">
                  <c:v>2924</c:v>
                </c:pt>
                <c:pt idx="413">
                  <c:v>31027</c:v>
                </c:pt>
                <c:pt idx="414">
                  <c:v>27364</c:v>
                </c:pt>
                <c:pt idx="415">
                  <c:v>30998</c:v>
                </c:pt>
                <c:pt idx="416">
                  <c:v>1057</c:v>
                </c:pt>
                <c:pt idx="417">
                  <c:v>42623</c:v>
                </c:pt>
                <c:pt idx="418">
                  <c:v>2521</c:v>
                </c:pt>
                <c:pt idx="419">
                  <c:v>42139</c:v>
                </c:pt>
                <c:pt idx="420">
                  <c:v>57702</c:v>
                </c:pt>
                <c:pt idx="421">
                  <c:v>36607</c:v>
                </c:pt>
                <c:pt idx="422">
                  <c:v>29144</c:v>
                </c:pt>
                <c:pt idx="423">
                  <c:v>7193</c:v>
                </c:pt>
                <c:pt idx="424">
                  <c:v>54309</c:v>
                </c:pt>
                <c:pt idx="425">
                  <c:v>987</c:v>
                </c:pt>
                <c:pt idx="426">
                  <c:v>41107</c:v>
                </c:pt>
                <c:pt idx="427">
                  <c:v>904</c:v>
                </c:pt>
                <c:pt idx="428">
                  <c:v>56752</c:v>
                </c:pt>
                <c:pt idx="429">
                  <c:v>10716</c:v>
                </c:pt>
                <c:pt idx="430">
                  <c:v>34558</c:v>
                </c:pt>
                <c:pt idx="431">
                  <c:v>1997</c:v>
                </c:pt>
                <c:pt idx="432">
                  <c:v>12306</c:v>
                </c:pt>
                <c:pt idx="433">
                  <c:v>37416</c:v>
                </c:pt>
                <c:pt idx="434">
                  <c:v>42702</c:v>
                </c:pt>
                <c:pt idx="435">
                  <c:v>42455</c:v>
                </c:pt>
                <c:pt idx="436">
                  <c:v>43292</c:v>
                </c:pt>
                <c:pt idx="437">
                  <c:v>1631</c:v>
                </c:pt>
                <c:pt idx="438">
                  <c:v>1644</c:v>
                </c:pt>
                <c:pt idx="439">
                  <c:v>8999</c:v>
                </c:pt>
                <c:pt idx="440">
                  <c:v>27417</c:v>
                </c:pt>
                <c:pt idx="441">
                  <c:v>9078</c:v>
                </c:pt>
                <c:pt idx="442">
                  <c:v>2553</c:v>
                </c:pt>
                <c:pt idx="443">
                  <c:v>1068</c:v>
                </c:pt>
                <c:pt idx="444">
                  <c:v>4818</c:v>
                </c:pt>
                <c:pt idx="445">
                  <c:v>650</c:v>
                </c:pt>
                <c:pt idx="446">
                  <c:v>15179</c:v>
                </c:pt>
                <c:pt idx="447">
                  <c:v>47242</c:v>
                </c:pt>
                <c:pt idx="448">
                  <c:v>58922</c:v>
                </c:pt>
                <c:pt idx="449">
                  <c:v>10008</c:v>
                </c:pt>
                <c:pt idx="450">
                  <c:v>42346</c:v>
                </c:pt>
                <c:pt idx="451">
                  <c:v>42840</c:v>
                </c:pt>
                <c:pt idx="452">
                  <c:v>40992</c:v>
                </c:pt>
                <c:pt idx="453">
                  <c:v>37916</c:v>
                </c:pt>
                <c:pt idx="454">
                  <c:v>1339</c:v>
                </c:pt>
                <c:pt idx="455">
                  <c:v>54266</c:v>
                </c:pt>
                <c:pt idx="456">
                  <c:v>47204</c:v>
                </c:pt>
                <c:pt idx="457">
                  <c:v>4556</c:v>
                </c:pt>
                <c:pt idx="458">
                  <c:v>49142</c:v>
                </c:pt>
                <c:pt idx="459">
                  <c:v>2431</c:v>
                </c:pt>
                <c:pt idx="460">
                  <c:v>1024</c:v>
                </c:pt>
                <c:pt idx="461">
                  <c:v>49749</c:v>
                </c:pt>
                <c:pt idx="462">
                  <c:v>3374</c:v>
                </c:pt>
                <c:pt idx="463">
                  <c:v>12854</c:v>
                </c:pt>
                <c:pt idx="464">
                  <c:v>46703</c:v>
                </c:pt>
                <c:pt idx="465">
                  <c:v>2807</c:v>
                </c:pt>
                <c:pt idx="466">
                  <c:v>46246</c:v>
                </c:pt>
                <c:pt idx="467">
                  <c:v>48215</c:v>
                </c:pt>
                <c:pt idx="468">
                  <c:v>2357</c:v>
                </c:pt>
                <c:pt idx="469">
                  <c:v>9597</c:v>
                </c:pt>
                <c:pt idx="470">
                  <c:v>722</c:v>
                </c:pt>
                <c:pt idx="471">
                  <c:v>791</c:v>
                </c:pt>
                <c:pt idx="472">
                  <c:v>2189</c:v>
                </c:pt>
                <c:pt idx="473">
                  <c:v>52472</c:v>
                </c:pt>
                <c:pt idx="474">
                  <c:v>54655</c:v>
                </c:pt>
                <c:pt idx="475">
                  <c:v>3335</c:v>
                </c:pt>
                <c:pt idx="476">
                  <c:v>2380</c:v>
                </c:pt>
                <c:pt idx="477">
                  <c:v>1455</c:v>
                </c:pt>
                <c:pt idx="478">
                  <c:v>38730</c:v>
                </c:pt>
                <c:pt idx="479">
                  <c:v>12178</c:v>
                </c:pt>
                <c:pt idx="480">
                  <c:v>11775</c:v>
                </c:pt>
                <c:pt idx="481">
                  <c:v>36279</c:v>
                </c:pt>
                <c:pt idx="482">
                  <c:v>47021</c:v>
                </c:pt>
                <c:pt idx="483">
                  <c:v>6362</c:v>
                </c:pt>
                <c:pt idx="484">
                  <c:v>1582</c:v>
                </c:pt>
                <c:pt idx="485">
                  <c:v>1347</c:v>
                </c:pt>
                <c:pt idx="486">
                  <c:v>13593</c:v>
                </c:pt>
                <c:pt idx="487">
                  <c:v>2880</c:v>
                </c:pt>
                <c:pt idx="488">
                  <c:v>4003</c:v>
                </c:pt>
                <c:pt idx="489">
                  <c:v>67884</c:v>
                </c:pt>
                <c:pt idx="490">
                  <c:v>46590</c:v>
                </c:pt>
                <c:pt idx="491">
                  <c:v>39007</c:v>
                </c:pt>
                <c:pt idx="492">
                  <c:v>10046</c:v>
                </c:pt>
                <c:pt idx="493">
                  <c:v>64898</c:v>
                </c:pt>
                <c:pt idx="494">
                  <c:v>34394</c:v>
                </c:pt>
                <c:pt idx="495">
                  <c:v>43134</c:v>
                </c:pt>
                <c:pt idx="496">
                  <c:v>14578</c:v>
                </c:pt>
                <c:pt idx="497">
                  <c:v>9207</c:v>
                </c:pt>
                <c:pt idx="498">
                  <c:v>384</c:v>
                </c:pt>
                <c:pt idx="499">
                  <c:v>7083</c:v>
                </c:pt>
                <c:pt idx="500">
                  <c:v>2877</c:v>
                </c:pt>
                <c:pt idx="501">
                  <c:v>3157</c:v>
                </c:pt>
                <c:pt idx="502">
                  <c:v>3694</c:v>
                </c:pt>
                <c:pt idx="503">
                  <c:v>8299</c:v>
                </c:pt>
                <c:pt idx="504">
                  <c:v>12481</c:v>
                </c:pt>
                <c:pt idx="505">
                  <c:v>37948</c:v>
                </c:pt>
                <c:pt idx="506">
                  <c:v>5530</c:v>
                </c:pt>
                <c:pt idx="507">
                  <c:v>39345</c:v>
                </c:pt>
                <c:pt idx="508">
                  <c:v>6272</c:v>
                </c:pt>
                <c:pt idx="509">
                  <c:v>685</c:v>
                </c:pt>
                <c:pt idx="510">
                  <c:v>44734</c:v>
                </c:pt>
                <c:pt idx="511">
                  <c:v>52833</c:v>
                </c:pt>
                <c:pt idx="512">
                  <c:v>1088</c:v>
                </c:pt>
                <c:pt idx="513">
                  <c:v>36469</c:v>
                </c:pt>
                <c:pt idx="514">
                  <c:v>2269</c:v>
                </c:pt>
                <c:pt idx="515">
                  <c:v>10973</c:v>
                </c:pt>
                <c:pt idx="516">
                  <c:v>2366</c:v>
                </c:pt>
                <c:pt idx="517">
                  <c:v>45017</c:v>
                </c:pt>
                <c:pt idx="518">
                  <c:v>1645</c:v>
                </c:pt>
                <c:pt idx="519">
                  <c:v>3977</c:v>
                </c:pt>
                <c:pt idx="520">
                  <c:v>4215</c:v>
                </c:pt>
                <c:pt idx="521">
                  <c:v>52041</c:v>
                </c:pt>
                <c:pt idx="522">
                  <c:v>60452</c:v>
                </c:pt>
                <c:pt idx="523">
                  <c:v>57760</c:v>
                </c:pt>
                <c:pt idx="524">
                  <c:v>10063</c:v>
                </c:pt>
                <c:pt idx="525">
                  <c:v>46325</c:v>
                </c:pt>
                <c:pt idx="526">
                  <c:v>48363</c:v>
                </c:pt>
                <c:pt idx="527">
                  <c:v>3740</c:v>
                </c:pt>
                <c:pt idx="528">
                  <c:v>2854</c:v>
                </c:pt>
                <c:pt idx="529">
                  <c:v>4036</c:v>
                </c:pt>
                <c:pt idx="530">
                  <c:v>3677</c:v>
                </c:pt>
                <c:pt idx="531">
                  <c:v>48745</c:v>
                </c:pt>
                <c:pt idx="532">
                  <c:v>1109</c:v>
                </c:pt>
                <c:pt idx="533">
                  <c:v>40637</c:v>
                </c:pt>
                <c:pt idx="534">
                  <c:v>41464</c:v>
                </c:pt>
                <c:pt idx="535">
                  <c:v>42897</c:v>
                </c:pt>
                <c:pt idx="536">
                  <c:v>59829</c:v>
                </c:pt>
                <c:pt idx="537">
                  <c:v>4363</c:v>
                </c:pt>
                <c:pt idx="538">
                  <c:v>1332</c:v>
                </c:pt>
                <c:pt idx="539">
                  <c:v>1217</c:v>
                </c:pt>
                <c:pt idx="540">
                  <c:v>58304</c:v>
                </c:pt>
                <c:pt idx="541">
                  <c:v>1113</c:v>
                </c:pt>
                <c:pt idx="542">
                  <c:v>47997</c:v>
                </c:pt>
                <c:pt idx="543">
                  <c:v>10502</c:v>
                </c:pt>
                <c:pt idx="544">
                  <c:v>5872</c:v>
                </c:pt>
                <c:pt idx="545">
                  <c:v>27090</c:v>
                </c:pt>
                <c:pt idx="546">
                  <c:v>2415</c:v>
                </c:pt>
                <c:pt idx="547">
                  <c:v>32529</c:v>
                </c:pt>
                <c:pt idx="548">
                  <c:v>3738</c:v>
                </c:pt>
                <c:pt idx="549">
                  <c:v>27058</c:v>
                </c:pt>
                <c:pt idx="550">
                  <c:v>57119</c:v>
                </c:pt>
                <c:pt idx="551">
                  <c:v>4550</c:v>
                </c:pt>
                <c:pt idx="552">
                  <c:v>4245</c:v>
                </c:pt>
                <c:pt idx="553">
                  <c:v>676</c:v>
                </c:pt>
                <c:pt idx="554">
                  <c:v>44916</c:v>
                </c:pt>
                <c:pt idx="555">
                  <c:v>41752</c:v>
                </c:pt>
                <c:pt idx="556">
                  <c:v>3555</c:v>
                </c:pt>
                <c:pt idx="557">
                  <c:v>3015</c:v>
                </c:pt>
                <c:pt idx="558">
                  <c:v>11723</c:v>
                </c:pt>
                <c:pt idx="559">
                  <c:v>633</c:v>
                </c:pt>
                <c:pt idx="560">
                  <c:v>3417</c:v>
                </c:pt>
                <c:pt idx="561">
                  <c:v>43333</c:v>
                </c:pt>
                <c:pt idx="562">
                  <c:v>2054</c:v>
                </c:pt>
                <c:pt idx="563">
                  <c:v>42969</c:v>
                </c:pt>
                <c:pt idx="564">
                  <c:v>48694</c:v>
                </c:pt>
                <c:pt idx="565">
                  <c:v>42703</c:v>
                </c:pt>
                <c:pt idx="566">
                  <c:v>35523</c:v>
                </c:pt>
                <c:pt idx="567">
                  <c:v>49554</c:v>
                </c:pt>
                <c:pt idx="568">
                  <c:v>2455</c:v>
                </c:pt>
                <c:pt idx="569">
                  <c:v>46719</c:v>
                </c:pt>
                <c:pt idx="570">
                  <c:v>46437</c:v>
                </c:pt>
                <c:pt idx="571">
                  <c:v>5514</c:v>
                </c:pt>
                <c:pt idx="572">
                  <c:v>42265</c:v>
                </c:pt>
                <c:pt idx="573">
                  <c:v>13248</c:v>
                </c:pt>
                <c:pt idx="574">
                  <c:v>1262</c:v>
                </c:pt>
                <c:pt idx="575">
                  <c:v>2948</c:v>
                </c:pt>
                <c:pt idx="576">
                  <c:v>4005</c:v>
                </c:pt>
                <c:pt idx="577">
                  <c:v>37133</c:v>
                </c:pt>
                <c:pt idx="578">
                  <c:v>3055</c:v>
                </c:pt>
                <c:pt idx="579">
                  <c:v>40587</c:v>
                </c:pt>
                <c:pt idx="580">
                  <c:v>7488</c:v>
                </c:pt>
                <c:pt idx="581">
                  <c:v>9540</c:v>
                </c:pt>
                <c:pt idx="582">
                  <c:v>37347</c:v>
                </c:pt>
                <c:pt idx="583">
                  <c:v>15278</c:v>
                </c:pt>
                <c:pt idx="584">
                  <c:v>11070</c:v>
                </c:pt>
                <c:pt idx="585">
                  <c:v>9805</c:v>
                </c:pt>
                <c:pt idx="586">
                  <c:v>53834</c:v>
                </c:pt>
                <c:pt idx="587">
                  <c:v>11202</c:v>
                </c:pt>
                <c:pt idx="588">
                  <c:v>60774</c:v>
                </c:pt>
                <c:pt idx="589">
                  <c:v>36180</c:v>
                </c:pt>
                <c:pt idx="590">
                  <c:v>12882</c:v>
                </c:pt>
                <c:pt idx="591">
                  <c:v>4768</c:v>
                </c:pt>
                <c:pt idx="592">
                  <c:v>57821</c:v>
                </c:pt>
                <c:pt idx="593">
                  <c:v>3904</c:v>
                </c:pt>
                <c:pt idx="594">
                  <c:v>2590</c:v>
                </c:pt>
                <c:pt idx="595">
                  <c:v>40156</c:v>
                </c:pt>
                <c:pt idx="596">
                  <c:v>58803</c:v>
                </c:pt>
                <c:pt idx="597">
                  <c:v>16133</c:v>
                </c:pt>
                <c:pt idx="598">
                  <c:v>45507</c:v>
                </c:pt>
                <c:pt idx="599">
                  <c:v>3544</c:v>
                </c:pt>
                <c:pt idx="600">
                  <c:v>11816</c:v>
                </c:pt>
                <c:pt idx="601">
                  <c:v>4531</c:v>
                </c:pt>
                <c:pt idx="602">
                  <c:v>36607</c:v>
                </c:pt>
                <c:pt idx="603">
                  <c:v>2019</c:v>
                </c:pt>
                <c:pt idx="604">
                  <c:v>5224</c:v>
                </c:pt>
                <c:pt idx="605">
                  <c:v>59682</c:v>
                </c:pt>
                <c:pt idx="606">
                  <c:v>30627</c:v>
                </c:pt>
                <c:pt idx="607">
                  <c:v>10068</c:v>
                </c:pt>
                <c:pt idx="608">
                  <c:v>47674</c:v>
                </c:pt>
                <c:pt idx="609">
                  <c:v>3839</c:v>
                </c:pt>
                <c:pt idx="610">
                  <c:v>1195</c:v>
                </c:pt>
                <c:pt idx="611">
                  <c:v>48826</c:v>
                </c:pt>
                <c:pt idx="612">
                  <c:v>15718</c:v>
                </c:pt>
                <c:pt idx="613">
                  <c:v>34708</c:v>
                </c:pt>
                <c:pt idx="614">
                  <c:v>6669</c:v>
                </c:pt>
                <c:pt idx="615">
                  <c:v>39693</c:v>
                </c:pt>
                <c:pt idx="616">
                  <c:v>3552</c:v>
                </c:pt>
                <c:pt idx="617">
                  <c:v>2122</c:v>
                </c:pt>
                <c:pt idx="618">
                  <c:v>42458</c:v>
                </c:pt>
                <c:pt idx="619">
                  <c:v>40648</c:v>
                </c:pt>
                <c:pt idx="620">
                  <c:v>31138</c:v>
                </c:pt>
                <c:pt idx="621">
                  <c:v>43945</c:v>
                </c:pt>
                <c:pt idx="622">
                  <c:v>49793</c:v>
                </c:pt>
                <c:pt idx="623">
                  <c:v>33110</c:v>
                </c:pt>
                <c:pt idx="624">
                  <c:v>1722</c:v>
                </c:pt>
                <c:pt idx="625">
                  <c:v>50261</c:v>
                </c:pt>
                <c:pt idx="626">
                  <c:v>50910</c:v>
                </c:pt>
                <c:pt idx="627">
                  <c:v>2722</c:v>
                </c:pt>
                <c:pt idx="628">
                  <c:v>48614</c:v>
                </c:pt>
                <c:pt idx="629">
                  <c:v>6991</c:v>
                </c:pt>
                <c:pt idx="630">
                  <c:v>4017</c:v>
                </c:pt>
                <c:pt idx="631">
                  <c:v>53457</c:v>
                </c:pt>
                <c:pt idx="632">
                  <c:v>6829</c:v>
                </c:pt>
                <c:pt idx="633">
                  <c:v>40394</c:v>
                </c:pt>
                <c:pt idx="634">
                  <c:v>3520</c:v>
                </c:pt>
                <c:pt idx="635">
                  <c:v>44588</c:v>
                </c:pt>
                <c:pt idx="636">
                  <c:v>39536</c:v>
                </c:pt>
                <c:pt idx="637">
                  <c:v>45735</c:v>
                </c:pt>
                <c:pt idx="638">
                  <c:v>44002</c:v>
                </c:pt>
                <c:pt idx="639">
                  <c:v>44765</c:v>
                </c:pt>
                <c:pt idx="640">
                  <c:v>50301</c:v>
                </c:pt>
                <c:pt idx="641">
                  <c:v>10299</c:v>
                </c:pt>
                <c:pt idx="642">
                  <c:v>34425</c:v>
                </c:pt>
                <c:pt idx="643">
                  <c:v>38331</c:v>
                </c:pt>
                <c:pt idx="644">
                  <c:v>50353</c:v>
                </c:pt>
                <c:pt idx="645">
                  <c:v>992</c:v>
                </c:pt>
                <c:pt idx="646">
                  <c:v>3332</c:v>
                </c:pt>
                <c:pt idx="647">
                  <c:v>10969</c:v>
                </c:pt>
                <c:pt idx="648">
                  <c:v>8567</c:v>
                </c:pt>
                <c:pt idx="649">
                  <c:v>12172</c:v>
                </c:pt>
                <c:pt idx="650">
                  <c:v>3052</c:v>
                </c:pt>
                <c:pt idx="651">
                  <c:v>56716</c:v>
                </c:pt>
                <c:pt idx="652">
                  <c:v>11242</c:v>
                </c:pt>
                <c:pt idx="653">
                  <c:v>1690</c:v>
                </c:pt>
                <c:pt idx="654">
                  <c:v>49380</c:v>
                </c:pt>
                <c:pt idx="655">
                  <c:v>54874</c:v>
                </c:pt>
                <c:pt idx="656">
                  <c:v>11032</c:v>
                </c:pt>
                <c:pt idx="657">
                  <c:v>40546</c:v>
                </c:pt>
                <c:pt idx="658">
                  <c:v>11068</c:v>
                </c:pt>
                <c:pt idx="659">
                  <c:v>7166</c:v>
                </c:pt>
                <c:pt idx="660">
                  <c:v>10898</c:v>
                </c:pt>
                <c:pt idx="661">
                  <c:v>50219</c:v>
                </c:pt>
                <c:pt idx="662">
                  <c:v>42329</c:v>
                </c:pt>
                <c:pt idx="663">
                  <c:v>8398</c:v>
                </c:pt>
                <c:pt idx="664">
                  <c:v>1728</c:v>
                </c:pt>
                <c:pt idx="665">
                  <c:v>4616</c:v>
                </c:pt>
                <c:pt idx="666">
                  <c:v>9363</c:v>
                </c:pt>
                <c:pt idx="667">
                  <c:v>10815</c:v>
                </c:pt>
                <c:pt idx="668">
                  <c:v>2368</c:v>
                </c:pt>
                <c:pt idx="669">
                  <c:v>50198</c:v>
                </c:pt>
                <c:pt idx="670">
                  <c:v>2551</c:v>
                </c:pt>
                <c:pt idx="671">
                  <c:v>8804</c:v>
                </c:pt>
                <c:pt idx="672">
                  <c:v>5098</c:v>
                </c:pt>
                <c:pt idx="673">
                  <c:v>38246</c:v>
                </c:pt>
                <c:pt idx="674">
                  <c:v>47006</c:v>
                </c:pt>
                <c:pt idx="675">
                  <c:v>56415</c:v>
                </c:pt>
                <c:pt idx="676">
                  <c:v>11240</c:v>
                </c:pt>
                <c:pt idx="677">
                  <c:v>58469</c:v>
                </c:pt>
                <c:pt idx="678">
                  <c:v>4842</c:v>
                </c:pt>
                <c:pt idx="679">
                  <c:v>2701</c:v>
                </c:pt>
                <c:pt idx="680">
                  <c:v>57845</c:v>
                </c:pt>
                <c:pt idx="681">
                  <c:v>6482</c:v>
                </c:pt>
                <c:pt idx="682">
                  <c:v>12552</c:v>
                </c:pt>
                <c:pt idx="683">
                  <c:v>30791</c:v>
                </c:pt>
                <c:pt idx="684">
                  <c:v>3047</c:v>
                </c:pt>
                <c:pt idx="685">
                  <c:v>33259</c:v>
                </c:pt>
                <c:pt idx="686">
                  <c:v>52105</c:v>
                </c:pt>
                <c:pt idx="687">
                  <c:v>40268</c:v>
                </c:pt>
                <c:pt idx="688">
                  <c:v>42160</c:v>
                </c:pt>
                <c:pt idx="689">
                  <c:v>33070</c:v>
                </c:pt>
                <c:pt idx="690">
                  <c:v>32704</c:v>
                </c:pt>
                <c:pt idx="691">
                  <c:v>5303</c:v>
                </c:pt>
                <c:pt idx="692">
                  <c:v>1704</c:v>
                </c:pt>
                <c:pt idx="693">
                  <c:v>33051</c:v>
                </c:pt>
                <c:pt idx="694">
                  <c:v>15527</c:v>
                </c:pt>
                <c:pt idx="695">
                  <c:v>2459</c:v>
                </c:pt>
                <c:pt idx="696">
                  <c:v>2727</c:v>
                </c:pt>
                <c:pt idx="697">
                  <c:v>41550</c:v>
                </c:pt>
                <c:pt idx="698">
                  <c:v>36521</c:v>
                </c:pt>
                <c:pt idx="699">
                  <c:v>7237</c:v>
                </c:pt>
                <c:pt idx="700">
                  <c:v>42746</c:v>
                </c:pt>
                <c:pt idx="701">
                  <c:v>34915</c:v>
                </c:pt>
                <c:pt idx="702">
                  <c:v>7144</c:v>
                </c:pt>
                <c:pt idx="703">
                  <c:v>37201</c:v>
                </c:pt>
                <c:pt idx="704">
                  <c:v>46356</c:v>
                </c:pt>
                <c:pt idx="705">
                  <c:v>38762</c:v>
                </c:pt>
                <c:pt idx="706">
                  <c:v>47709</c:v>
                </c:pt>
                <c:pt idx="707">
                  <c:v>68890</c:v>
                </c:pt>
                <c:pt idx="708">
                  <c:v>36658</c:v>
                </c:pt>
                <c:pt idx="709">
                  <c:v>51455</c:v>
                </c:pt>
                <c:pt idx="710">
                  <c:v>4473</c:v>
                </c:pt>
                <c:pt idx="711">
                  <c:v>37637</c:v>
                </c:pt>
                <c:pt idx="712">
                  <c:v>44111</c:v>
                </c:pt>
                <c:pt idx="713">
                  <c:v>8985</c:v>
                </c:pt>
                <c:pt idx="714">
                  <c:v>5576</c:v>
                </c:pt>
                <c:pt idx="715">
                  <c:v>1531</c:v>
                </c:pt>
                <c:pt idx="716">
                  <c:v>5254</c:v>
                </c:pt>
                <c:pt idx="717">
                  <c:v>44219</c:v>
                </c:pt>
                <c:pt idx="718">
                  <c:v>3189</c:v>
                </c:pt>
                <c:pt idx="719">
                  <c:v>39010</c:v>
                </c:pt>
                <c:pt idx="720">
                  <c:v>49223</c:v>
                </c:pt>
                <c:pt idx="721">
                  <c:v>33630</c:v>
                </c:pt>
                <c:pt idx="722">
                  <c:v>1984</c:v>
                </c:pt>
                <c:pt idx="723">
                  <c:v>40927</c:v>
                </c:pt>
                <c:pt idx="724">
                  <c:v>31076</c:v>
                </c:pt>
                <c:pt idx="725">
                  <c:v>4915</c:v>
                </c:pt>
                <c:pt idx="726">
                  <c:v>9700</c:v>
                </c:pt>
                <c:pt idx="727">
                  <c:v>56365</c:v>
                </c:pt>
                <c:pt idx="728">
                  <c:v>3572</c:v>
                </c:pt>
                <c:pt idx="729">
                  <c:v>39172</c:v>
                </c:pt>
                <c:pt idx="730">
                  <c:v>43957</c:v>
                </c:pt>
                <c:pt idx="731">
                  <c:v>58480</c:v>
                </c:pt>
                <c:pt idx="732">
                  <c:v>50030</c:v>
                </c:pt>
                <c:pt idx="733">
                  <c:v>7743</c:v>
                </c:pt>
                <c:pt idx="734">
                  <c:v>2753</c:v>
                </c:pt>
                <c:pt idx="735">
                  <c:v>7570</c:v>
                </c:pt>
                <c:pt idx="736">
                  <c:v>35720</c:v>
                </c:pt>
                <c:pt idx="737">
                  <c:v>5546</c:v>
                </c:pt>
                <c:pt idx="738">
                  <c:v>3666</c:v>
                </c:pt>
                <c:pt idx="739">
                  <c:v>40755</c:v>
                </c:pt>
                <c:pt idx="740">
                  <c:v>41268</c:v>
                </c:pt>
                <c:pt idx="741">
                  <c:v>1996</c:v>
                </c:pt>
                <c:pt idx="742">
                  <c:v>2669</c:v>
                </c:pt>
                <c:pt idx="743">
                  <c:v>8359</c:v>
                </c:pt>
                <c:pt idx="744">
                  <c:v>2632</c:v>
                </c:pt>
                <c:pt idx="745">
                  <c:v>43662</c:v>
                </c:pt>
                <c:pt idx="746">
                  <c:v>620</c:v>
                </c:pt>
                <c:pt idx="747">
                  <c:v>49088</c:v>
                </c:pt>
                <c:pt idx="748">
                  <c:v>2543</c:v>
                </c:pt>
                <c:pt idx="749">
                  <c:v>39849</c:v>
                </c:pt>
                <c:pt idx="750">
                  <c:v>48349</c:v>
                </c:pt>
                <c:pt idx="751">
                  <c:v>50795</c:v>
                </c:pt>
                <c:pt idx="752">
                  <c:v>39577</c:v>
                </c:pt>
                <c:pt idx="753">
                  <c:v>10298</c:v>
                </c:pt>
                <c:pt idx="754">
                  <c:v>1360</c:v>
                </c:pt>
                <c:pt idx="755">
                  <c:v>51486</c:v>
                </c:pt>
                <c:pt idx="756">
                  <c:v>40952</c:v>
                </c:pt>
                <c:pt idx="757">
                  <c:v>43175</c:v>
                </c:pt>
                <c:pt idx="758">
                  <c:v>43048</c:v>
                </c:pt>
                <c:pt idx="759">
                  <c:v>29709</c:v>
                </c:pt>
                <c:pt idx="760">
                  <c:v>2544</c:v>
                </c:pt>
                <c:pt idx="761">
                  <c:v>3524</c:v>
                </c:pt>
                <c:pt idx="762">
                  <c:v>40125</c:v>
                </c:pt>
                <c:pt idx="763">
                  <c:v>48622</c:v>
                </c:pt>
                <c:pt idx="764">
                  <c:v>5276</c:v>
                </c:pt>
                <c:pt idx="765">
                  <c:v>50202</c:v>
                </c:pt>
                <c:pt idx="766">
                  <c:v>35016</c:v>
                </c:pt>
                <c:pt idx="767">
                  <c:v>55956</c:v>
                </c:pt>
                <c:pt idx="768">
                  <c:v>53561</c:v>
                </c:pt>
                <c:pt idx="769">
                  <c:v>10393</c:v>
                </c:pt>
                <c:pt idx="770">
                  <c:v>54191</c:v>
                </c:pt>
                <c:pt idx="771">
                  <c:v>46312</c:v>
                </c:pt>
                <c:pt idx="772">
                  <c:v>3097</c:v>
                </c:pt>
                <c:pt idx="773">
                  <c:v>3392</c:v>
                </c:pt>
                <c:pt idx="774">
                  <c:v>35231</c:v>
                </c:pt>
                <c:pt idx="775">
                  <c:v>57055</c:v>
                </c:pt>
                <c:pt idx="776">
                  <c:v>26702</c:v>
                </c:pt>
              </c:numCache>
            </c:numRef>
          </c:yVal>
          <c:smooth val="0"/>
          <c:extLst>
            <c:ext xmlns:c16="http://schemas.microsoft.com/office/drawing/2014/chart" uri="{C3380CC4-5D6E-409C-BE32-E72D297353CC}">
              <c16:uniqueId val="{00000000-3147-DB44-BA78-7826709AC68F}"/>
            </c:ext>
          </c:extLst>
        </c:ser>
        <c:dLbls>
          <c:showLegendKey val="0"/>
          <c:showVal val="0"/>
          <c:showCatName val="0"/>
          <c:showSerName val="0"/>
          <c:showPercent val="0"/>
          <c:showBubbleSize val="0"/>
        </c:dLbls>
        <c:axId val="1142974976"/>
        <c:axId val="1142964224"/>
      </c:scatterChart>
      <c:valAx>
        <c:axId val="114297497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64224"/>
        <c:crosses val="autoZero"/>
        <c:crossBetween val="midCat"/>
      </c:valAx>
      <c:valAx>
        <c:axId val="1142964224"/>
        <c:scaling>
          <c:orientation val="minMax"/>
        </c:scaling>
        <c:delete val="0"/>
        <c:axPos val="l"/>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74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Hispanic</a:t>
            </a:r>
            <a:r>
              <a:rPr lang="en-US" b="1" baseline="0"/>
              <a:t> DDS Clients Skew Younger</a:t>
            </a:r>
            <a:endParaRPr lang="en-US" b="1"/>
          </a:p>
        </c:rich>
      </c:tx>
      <c:layout>
        <c:manualLayout>
          <c:xMode val="edge"/>
          <c:yMode val="edge"/>
          <c:x val="5.945900703191123E-3"/>
          <c:y val="1.12786704134942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154688989591631"/>
          <c:y val="0.13277814744286123"/>
          <c:w val="0.82148140277311132"/>
          <c:h val="0.72061778695168843"/>
        </c:manualLayout>
      </c:layout>
      <c:scatterChart>
        <c:scatterStyle val="lineMarker"/>
        <c:varyColors val="0"/>
        <c:ser>
          <c:idx val="0"/>
          <c:order val="0"/>
          <c:tx>
            <c:v>Hispanic</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Part2_CalDDS!$C$2:$C$478</c:f>
              <c:numCache>
                <c:formatCode>General</c:formatCode>
                <c:ptCount val="376"/>
                <c:pt idx="0">
                  <c:v>3</c:v>
                </c:pt>
                <c:pt idx="1">
                  <c:v>19</c:v>
                </c:pt>
                <c:pt idx="2">
                  <c:v>15</c:v>
                </c:pt>
                <c:pt idx="3">
                  <c:v>13</c:v>
                </c:pt>
                <c:pt idx="4">
                  <c:v>14</c:v>
                </c:pt>
                <c:pt idx="5">
                  <c:v>20</c:v>
                </c:pt>
                <c:pt idx="6">
                  <c:v>5</c:v>
                </c:pt>
                <c:pt idx="7">
                  <c:v>15</c:v>
                </c:pt>
                <c:pt idx="8">
                  <c:v>5</c:v>
                </c:pt>
                <c:pt idx="9">
                  <c:v>5</c:v>
                </c:pt>
                <c:pt idx="10">
                  <c:v>22</c:v>
                </c:pt>
                <c:pt idx="11">
                  <c:v>3</c:v>
                </c:pt>
                <c:pt idx="12">
                  <c:v>6</c:v>
                </c:pt>
                <c:pt idx="13">
                  <c:v>3</c:v>
                </c:pt>
                <c:pt idx="14">
                  <c:v>16</c:v>
                </c:pt>
                <c:pt idx="15">
                  <c:v>8</c:v>
                </c:pt>
                <c:pt idx="16">
                  <c:v>10</c:v>
                </c:pt>
                <c:pt idx="17">
                  <c:v>16</c:v>
                </c:pt>
                <c:pt idx="18">
                  <c:v>13</c:v>
                </c:pt>
                <c:pt idx="19">
                  <c:v>16</c:v>
                </c:pt>
                <c:pt idx="20">
                  <c:v>20</c:v>
                </c:pt>
                <c:pt idx="21">
                  <c:v>45</c:v>
                </c:pt>
                <c:pt idx="22">
                  <c:v>5</c:v>
                </c:pt>
                <c:pt idx="23">
                  <c:v>32</c:v>
                </c:pt>
                <c:pt idx="24">
                  <c:v>13</c:v>
                </c:pt>
                <c:pt idx="25">
                  <c:v>19</c:v>
                </c:pt>
                <c:pt idx="26">
                  <c:v>6</c:v>
                </c:pt>
                <c:pt idx="27">
                  <c:v>17</c:v>
                </c:pt>
                <c:pt idx="28">
                  <c:v>34</c:v>
                </c:pt>
                <c:pt idx="29">
                  <c:v>18</c:v>
                </c:pt>
                <c:pt idx="30">
                  <c:v>15</c:v>
                </c:pt>
                <c:pt idx="31">
                  <c:v>16</c:v>
                </c:pt>
                <c:pt idx="32">
                  <c:v>1</c:v>
                </c:pt>
                <c:pt idx="33">
                  <c:v>94</c:v>
                </c:pt>
                <c:pt idx="34">
                  <c:v>5</c:v>
                </c:pt>
                <c:pt idx="35">
                  <c:v>23</c:v>
                </c:pt>
                <c:pt idx="36">
                  <c:v>4</c:v>
                </c:pt>
                <c:pt idx="37">
                  <c:v>12</c:v>
                </c:pt>
                <c:pt idx="38">
                  <c:v>20</c:v>
                </c:pt>
                <c:pt idx="39">
                  <c:v>12</c:v>
                </c:pt>
                <c:pt idx="40">
                  <c:v>15</c:v>
                </c:pt>
                <c:pt idx="41">
                  <c:v>24</c:v>
                </c:pt>
                <c:pt idx="42">
                  <c:v>4</c:v>
                </c:pt>
                <c:pt idx="43">
                  <c:v>24</c:v>
                </c:pt>
                <c:pt idx="44">
                  <c:v>18</c:v>
                </c:pt>
                <c:pt idx="45">
                  <c:v>19</c:v>
                </c:pt>
                <c:pt idx="46">
                  <c:v>11</c:v>
                </c:pt>
                <c:pt idx="47">
                  <c:v>66</c:v>
                </c:pt>
                <c:pt idx="48">
                  <c:v>19</c:v>
                </c:pt>
                <c:pt idx="49">
                  <c:v>14</c:v>
                </c:pt>
                <c:pt idx="50">
                  <c:v>5</c:v>
                </c:pt>
                <c:pt idx="51">
                  <c:v>17</c:v>
                </c:pt>
                <c:pt idx="52">
                  <c:v>34</c:v>
                </c:pt>
                <c:pt idx="53">
                  <c:v>13</c:v>
                </c:pt>
                <c:pt idx="54">
                  <c:v>4</c:v>
                </c:pt>
                <c:pt idx="55">
                  <c:v>5</c:v>
                </c:pt>
                <c:pt idx="56">
                  <c:v>4</c:v>
                </c:pt>
                <c:pt idx="57">
                  <c:v>4</c:v>
                </c:pt>
                <c:pt idx="58">
                  <c:v>0</c:v>
                </c:pt>
                <c:pt idx="59">
                  <c:v>19</c:v>
                </c:pt>
                <c:pt idx="60">
                  <c:v>3</c:v>
                </c:pt>
                <c:pt idx="61">
                  <c:v>17</c:v>
                </c:pt>
                <c:pt idx="62">
                  <c:v>16</c:v>
                </c:pt>
                <c:pt idx="63">
                  <c:v>21</c:v>
                </c:pt>
                <c:pt idx="64">
                  <c:v>9</c:v>
                </c:pt>
                <c:pt idx="65">
                  <c:v>15</c:v>
                </c:pt>
                <c:pt idx="66">
                  <c:v>14</c:v>
                </c:pt>
                <c:pt idx="67">
                  <c:v>0</c:v>
                </c:pt>
                <c:pt idx="68">
                  <c:v>21</c:v>
                </c:pt>
                <c:pt idx="69">
                  <c:v>21</c:v>
                </c:pt>
                <c:pt idx="70">
                  <c:v>6</c:v>
                </c:pt>
                <c:pt idx="71">
                  <c:v>19</c:v>
                </c:pt>
                <c:pt idx="72">
                  <c:v>16</c:v>
                </c:pt>
                <c:pt idx="73">
                  <c:v>0</c:v>
                </c:pt>
                <c:pt idx="74">
                  <c:v>4</c:v>
                </c:pt>
                <c:pt idx="75">
                  <c:v>6</c:v>
                </c:pt>
                <c:pt idx="76">
                  <c:v>17</c:v>
                </c:pt>
                <c:pt idx="77">
                  <c:v>13</c:v>
                </c:pt>
                <c:pt idx="78">
                  <c:v>16</c:v>
                </c:pt>
                <c:pt idx="79">
                  <c:v>4</c:v>
                </c:pt>
                <c:pt idx="80">
                  <c:v>12</c:v>
                </c:pt>
                <c:pt idx="81">
                  <c:v>11</c:v>
                </c:pt>
                <c:pt idx="82">
                  <c:v>7</c:v>
                </c:pt>
                <c:pt idx="83">
                  <c:v>22</c:v>
                </c:pt>
                <c:pt idx="84">
                  <c:v>1</c:v>
                </c:pt>
                <c:pt idx="85">
                  <c:v>20</c:v>
                </c:pt>
                <c:pt idx="86">
                  <c:v>5</c:v>
                </c:pt>
                <c:pt idx="87">
                  <c:v>4</c:v>
                </c:pt>
                <c:pt idx="88">
                  <c:v>33</c:v>
                </c:pt>
                <c:pt idx="89">
                  <c:v>4</c:v>
                </c:pt>
                <c:pt idx="90">
                  <c:v>19</c:v>
                </c:pt>
                <c:pt idx="91">
                  <c:v>15</c:v>
                </c:pt>
                <c:pt idx="92">
                  <c:v>1</c:v>
                </c:pt>
                <c:pt idx="93">
                  <c:v>21</c:v>
                </c:pt>
                <c:pt idx="94">
                  <c:v>8</c:v>
                </c:pt>
                <c:pt idx="95">
                  <c:v>17</c:v>
                </c:pt>
                <c:pt idx="96">
                  <c:v>7</c:v>
                </c:pt>
                <c:pt idx="97">
                  <c:v>16</c:v>
                </c:pt>
                <c:pt idx="98">
                  <c:v>14</c:v>
                </c:pt>
                <c:pt idx="99">
                  <c:v>19</c:v>
                </c:pt>
                <c:pt idx="100">
                  <c:v>20</c:v>
                </c:pt>
                <c:pt idx="101">
                  <c:v>3</c:v>
                </c:pt>
                <c:pt idx="102">
                  <c:v>20</c:v>
                </c:pt>
                <c:pt idx="103">
                  <c:v>17</c:v>
                </c:pt>
                <c:pt idx="104">
                  <c:v>21</c:v>
                </c:pt>
                <c:pt idx="105">
                  <c:v>2</c:v>
                </c:pt>
                <c:pt idx="106">
                  <c:v>70</c:v>
                </c:pt>
                <c:pt idx="107">
                  <c:v>17</c:v>
                </c:pt>
                <c:pt idx="108">
                  <c:v>38</c:v>
                </c:pt>
                <c:pt idx="109">
                  <c:v>11</c:v>
                </c:pt>
                <c:pt idx="110">
                  <c:v>11</c:v>
                </c:pt>
                <c:pt idx="111">
                  <c:v>1</c:v>
                </c:pt>
                <c:pt idx="112">
                  <c:v>26</c:v>
                </c:pt>
                <c:pt idx="113">
                  <c:v>68</c:v>
                </c:pt>
                <c:pt idx="114">
                  <c:v>13</c:v>
                </c:pt>
                <c:pt idx="115">
                  <c:v>8</c:v>
                </c:pt>
                <c:pt idx="116">
                  <c:v>21</c:v>
                </c:pt>
                <c:pt idx="117">
                  <c:v>20</c:v>
                </c:pt>
                <c:pt idx="118">
                  <c:v>8</c:v>
                </c:pt>
                <c:pt idx="119">
                  <c:v>27</c:v>
                </c:pt>
                <c:pt idx="120">
                  <c:v>6</c:v>
                </c:pt>
                <c:pt idx="121">
                  <c:v>21</c:v>
                </c:pt>
                <c:pt idx="122">
                  <c:v>15</c:v>
                </c:pt>
                <c:pt idx="123">
                  <c:v>76</c:v>
                </c:pt>
                <c:pt idx="124">
                  <c:v>18</c:v>
                </c:pt>
                <c:pt idx="125">
                  <c:v>20</c:v>
                </c:pt>
                <c:pt idx="126">
                  <c:v>20</c:v>
                </c:pt>
                <c:pt idx="127">
                  <c:v>18</c:v>
                </c:pt>
                <c:pt idx="128">
                  <c:v>9</c:v>
                </c:pt>
                <c:pt idx="129">
                  <c:v>21</c:v>
                </c:pt>
                <c:pt idx="130">
                  <c:v>17</c:v>
                </c:pt>
                <c:pt idx="131">
                  <c:v>9</c:v>
                </c:pt>
                <c:pt idx="132">
                  <c:v>13</c:v>
                </c:pt>
                <c:pt idx="133">
                  <c:v>25</c:v>
                </c:pt>
                <c:pt idx="134">
                  <c:v>13</c:v>
                </c:pt>
                <c:pt idx="135">
                  <c:v>14</c:v>
                </c:pt>
                <c:pt idx="136">
                  <c:v>6</c:v>
                </c:pt>
                <c:pt idx="137">
                  <c:v>9</c:v>
                </c:pt>
                <c:pt idx="138">
                  <c:v>24</c:v>
                </c:pt>
                <c:pt idx="139">
                  <c:v>17</c:v>
                </c:pt>
                <c:pt idx="140">
                  <c:v>15</c:v>
                </c:pt>
                <c:pt idx="141">
                  <c:v>16</c:v>
                </c:pt>
                <c:pt idx="142">
                  <c:v>11</c:v>
                </c:pt>
                <c:pt idx="143">
                  <c:v>16</c:v>
                </c:pt>
                <c:pt idx="144">
                  <c:v>8</c:v>
                </c:pt>
                <c:pt idx="145">
                  <c:v>28</c:v>
                </c:pt>
                <c:pt idx="146">
                  <c:v>20</c:v>
                </c:pt>
                <c:pt idx="147">
                  <c:v>20</c:v>
                </c:pt>
                <c:pt idx="148">
                  <c:v>17</c:v>
                </c:pt>
                <c:pt idx="149">
                  <c:v>67</c:v>
                </c:pt>
                <c:pt idx="150">
                  <c:v>14</c:v>
                </c:pt>
                <c:pt idx="151">
                  <c:v>52</c:v>
                </c:pt>
                <c:pt idx="152">
                  <c:v>16</c:v>
                </c:pt>
                <c:pt idx="153">
                  <c:v>22</c:v>
                </c:pt>
                <c:pt idx="154">
                  <c:v>73</c:v>
                </c:pt>
                <c:pt idx="155">
                  <c:v>17</c:v>
                </c:pt>
                <c:pt idx="156">
                  <c:v>11</c:v>
                </c:pt>
                <c:pt idx="157">
                  <c:v>95</c:v>
                </c:pt>
                <c:pt idx="158">
                  <c:v>7</c:v>
                </c:pt>
                <c:pt idx="159">
                  <c:v>16</c:v>
                </c:pt>
                <c:pt idx="160">
                  <c:v>9</c:v>
                </c:pt>
                <c:pt idx="161">
                  <c:v>9</c:v>
                </c:pt>
                <c:pt idx="162">
                  <c:v>13</c:v>
                </c:pt>
                <c:pt idx="163">
                  <c:v>16</c:v>
                </c:pt>
                <c:pt idx="164">
                  <c:v>10</c:v>
                </c:pt>
                <c:pt idx="165">
                  <c:v>1</c:v>
                </c:pt>
                <c:pt idx="166">
                  <c:v>16</c:v>
                </c:pt>
                <c:pt idx="167">
                  <c:v>16</c:v>
                </c:pt>
                <c:pt idx="168">
                  <c:v>6</c:v>
                </c:pt>
                <c:pt idx="169">
                  <c:v>14</c:v>
                </c:pt>
                <c:pt idx="170">
                  <c:v>25</c:v>
                </c:pt>
                <c:pt idx="171">
                  <c:v>12</c:v>
                </c:pt>
                <c:pt idx="172">
                  <c:v>8</c:v>
                </c:pt>
                <c:pt idx="173">
                  <c:v>21</c:v>
                </c:pt>
                <c:pt idx="174">
                  <c:v>14</c:v>
                </c:pt>
                <c:pt idx="175">
                  <c:v>75</c:v>
                </c:pt>
                <c:pt idx="176">
                  <c:v>11</c:v>
                </c:pt>
                <c:pt idx="177">
                  <c:v>14</c:v>
                </c:pt>
                <c:pt idx="178">
                  <c:v>7</c:v>
                </c:pt>
                <c:pt idx="179">
                  <c:v>32</c:v>
                </c:pt>
                <c:pt idx="180">
                  <c:v>12</c:v>
                </c:pt>
                <c:pt idx="181">
                  <c:v>19</c:v>
                </c:pt>
                <c:pt idx="182">
                  <c:v>18</c:v>
                </c:pt>
                <c:pt idx="183">
                  <c:v>6</c:v>
                </c:pt>
                <c:pt idx="184">
                  <c:v>14</c:v>
                </c:pt>
                <c:pt idx="185">
                  <c:v>17</c:v>
                </c:pt>
                <c:pt idx="186">
                  <c:v>21</c:v>
                </c:pt>
                <c:pt idx="187">
                  <c:v>10</c:v>
                </c:pt>
                <c:pt idx="188">
                  <c:v>15</c:v>
                </c:pt>
                <c:pt idx="189">
                  <c:v>15</c:v>
                </c:pt>
                <c:pt idx="190">
                  <c:v>17</c:v>
                </c:pt>
                <c:pt idx="191">
                  <c:v>16</c:v>
                </c:pt>
                <c:pt idx="192">
                  <c:v>15</c:v>
                </c:pt>
                <c:pt idx="193">
                  <c:v>12</c:v>
                </c:pt>
                <c:pt idx="194">
                  <c:v>19</c:v>
                </c:pt>
                <c:pt idx="195">
                  <c:v>7</c:v>
                </c:pt>
                <c:pt idx="196">
                  <c:v>68</c:v>
                </c:pt>
                <c:pt idx="197">
                  <c:v>16</c:v>
                </c:pt>
                <c:pt idx="198">
                  <c:v>88</c:v>
                </c:pt>
                <c:pt idx="199">
                  <c:v>29</c:v>
                </c:pt>
                <c:pt idx="200">
                  <c:v>22</c:v>
                </c:pt>
                <c:pt idx="201">
                  <c:v>5</c:v>
                </c:pt>
                <c:pt idx="202">
                  <c:v>19</c:v>
                </c:pt>
                <c:pt idx="203">
                  <c:v>62</c:v>
                </c:pt>
                <c:pt idx="204">
                  <c:v>17</c:v>
                </c:pt>
                <c:pt idx="205">
                  <c:v>13</c:v>
                </c:pt>
                <c:pt idx="206">
                  <c:v>12</c:v>
                </c:pt>
                <c:pt idx="207">
                  <c:v>15</c:v>
                </c:pt>
                <c:pt idx="208">
                  <c:v>20</c:v>
                </c:pt>
                <c:pt idx="209">
                  <c:v>21</c:v>
                </c:pt>
                <c:pt idx="210">
                  <c:v>18</c:v>
                </c:pt>
                <c:pt idx="211">
                  <c:v>15</c:v>
                </c:pt>
                <c:pt idx="212">
                  <c:v>9</c:v>
                </c:pt>
                <c:pt idx="213">
                  <c:v>14</c:v>
                </c:pt>
                <c:pt idx="214">
                  <c:v>15</c:v>
                </c:pt>
                <c:pt idx="215">
                  <c:v>14</c:v>
                </c:pt>
                <c:pt idx="216">
                  <c:v>7</c:v>
                </c:pt>
                <c:pt idx="217">
                  <c:v>12</c:v>
                </c:pt>
                <c:pt idx="218">
                  <c:v>21</c:v>
                </c:pt>
                <c:pt idx="219">
                  <c:v>4</c:v>
                </c:pt>
                <c:pt idx="220">
                  <c:v>0</c:v>
                </c:pt>
                <c:pt idx="221">
                  <c:v>11</c:v>
                </c:pt>
                <c:pt idx="222">
                  <c:v>21</c:v>
                </c:pt>
                <c:pt idx="223">
                  <c:v>17</c:v>
                </c:pt>
                <c:pt idx="224">
                  <c:v>19</c:v>
                </c:pt>
                <c:pt idx="225">
                  <c:v>23</c:v>
                </c:pt>
                <c:pt idx="226">
                  <c:v>10</c:v>
                </c:pt>
                <c:pt idx="227">
                  <c:v>20</c:v>
                </c:pt>
                <c:pt idx="228">
                  <c:v>8</c:v>
                </c:pt>
                <c:pt idx="229">
                  <c:v>12</c:v>
                </c:pt>
                <c:pt idx="230">
                  <c:v>20</c:v>
                </c:pt>
                <c:pt idx="231">
                  <c:v>16</c:v>
                </c:pt>
                <c:pt idx="232">
                  <c:v>5</c:v>
                </c:pt>
                <c:pt idx="233">
                  <c:v>17</c:v>
                </c:pt>
                <c:pt idx="234">
                  <c:v>6</c:v>
                </c:pt>
                <c:pt idx="235">
                  <c:v>10</c:v>
                </c:pt>
                <c:pt idx="236">
                  <c:v>15</c:v>
                </c:pt>
                <c:pt idx="237">
                  <c:v>12</c:v>
                </c:pt>
                <c:pt idx="238">
                  <c:v>12</c:v>
                </c:pt>
                <c:pt idx="239">
                  <c:v>10</c:v>
                </c:pt>
                <c:pt idx="240">
                  <c:v>19</c:v>
                </c:pt>
                <c:pt idx="241">
                  <c:v>19</c:v>
                </c:pt>
                <c:pt idx="242">
                  <c:v>11</c:v>
                </c:pt>
                <c:pt idx="243">
                  <c:v>18</c:v>
                </c:pt>
                <c:pt idx="244">
                  <c:v>23</c:v>
                </c:pt>
                <c:pt idx="245">
                  <c:v>6</c:v>
                </c:pt>
                <c:pt idx="246">
                  <c:v>20</c:v>
                </c:pt>
                <c:pt idx="247">
                  <c:v>39</c:v>
                </c:pt>
                <c:pt idx="248">
                  <c:v>11</c:v>
                </c:pt>
                <c:pt idx="249">
                  <c:v>16</c:v>
                </c:pt>
                <c:pt idx="250">
                  <c:v>13</c:v>
                </c:pt>
                <c:pt idx="251">
                  <c:v>8</c:v>
                </c:pt>
                <c:pt idx="252">
                  <c:v>9</c:v>
                </c:pt>
                <c:pt idx="253">
                  <c:v>7</c:v>
                </c:pt>
                <c:pt idx="254">
                  <c:v>16</c:v>
                </c:pt>
                <c:pt idx="255">
                  <c:v>19</c:v>
                </c:pt>
                <c:pt idx="256">
                  <c:v>19</c:v>
                </c:pt>
                <c:pt idx="257">
                  <c:v>17</c:v>
                </c:pt>
                <c:pt idx="258">
                  <c:v>15</c:v>
                </c:pt>
                <c:pt idx="259">
                  <c:v>18</c:v>
                </c:pt>
                <c:pt idx="260">
                  <c:v>17</c:v>
                </c:pt>
                <c:pt idx="261">
                  <c:v>19</c:v>
                </c:pt>
                <c:pt idx="262">
                  <c:v>15</c:v>
                </c:pt>
                <c:pt idx="263">
                  <c:v>20</c:v>
                </c:pt>
                <c:pt idx="264">
                  <c:v>13</c:v>
                </c:pt>
                <c:pt idx="265">
                  <c:v>6</c:v>
                </c:pt>
                <c:pt idx="266">
                  <c:v>17</c:v>
                </c:pt>
                <c:pt idx="267">
                  <c:v>18</c:v>
                </c:pt>
                <c:pt idx="268">
                  <c:v>9</c:v>
                </c:pt>
                <c:pt idx="269">
                  <c:v>34</c:v>
                </c:pt>
                <c:pt idx="270">
                  <c:v>18</c:v>
                </c:pt>
                <c:pt idx="271">
                  <c:v>16</c:v>
                </c:pt>
                <c:pt idx="272">
                  <c:v>5</c:v>
                </c:pt>
                <c:pt idx="273">
                  <c:v>21</c:v>
                </c:pt>
                <c:pt idx="274">
                  <c:v>14</c:v>
                </c:pt>
                <c:pt idx="275">
                  <c:v>18</c:v>
                </c:pt>
                <c:pt idx="276">
                  <c:v>6</c:v>
                </c:pt>
                <c:pt idx="277">
                  <c:v>8</c:v>
                </c:pt>
                <c:pt idx="278">
                  <c:v>18</c:v>
                </c:pt>
                <c:pt idx="279">
                  <c:v>19</c:v>
                </c:pt>
                <c:pt idx="280">
                  <c:v>12</c:v>
                </c:pt>
                <c:pt idx="281">
                  <c:v>15</c:v>
                </c:pt>
                <c:pt idx="282">
                  <c:v>9</c:v>
                </c:pt>
                <c:pt idx="283">
                  <c:v>17</c:v>
                </c:pt>
                <c:pt idx="284">
                  <c:v>14</c:v>
                </c:pt>
                <c:pt idx="285">
                  <c:v>30</c:v>
                </c:pt>
                <c:pt idx="286">
                  <c:v>11</c:v>
                </c:pt>
                <c:pt idx="287">
                  <c:v>10</c:v>
                </c:pt>
                <c:pt idx="288">
                  <c:v>3</c:v>
                </c:pt>
                <c:pt idx="289">
                  <c:v>15</c:v>
                </c:pt>
                <c:pt idx="290">
                  <c:v>12</c:v>
                </c:pt>
                <c:pt idx="291">
                  <c:v>20</c:v>
                </c:pt>
                <c:pt idx="292">
                  <c:v>12</c:v>
                </c:pt>
                <c:pt idx="293">
                  <c:v>20</c:v>
                </c:pt>
                <c:pt idx="294">
                  <c:v>19</c:v>
                </c:pt>
                <c:pt idx="295">
                  <c:v>30</c:v>
                </c:pt>
                <c:pt idx="296">
                  <c:v>24</c:v>
                </c:pt>
                <c:pt idx="297">
                  <c:v>15</c:v>
                </c:pt>
                <c:pt idx="298">
                  <c:v>0</c:v>
                </c:pt>
                <c:pt idx="299">
                  <c:v>6</c:v>
                </c:pt>
                <c:pt idx="300">
                  <c:v>10</c:v>
                </c:pt>
                <c:pt idx="301">
                  <c:v>75</c:v>
                </c:pt>
                <c:pt idx="302">
                  <c:v>25</c:v>
                </c:pt>
                <c:pt idx="303">
                  <c:v>27</c:v>
                </c:pt>
                <c:pt idx="304">
                  <c:v>6</c:v>
                </c:pt>
                <c:pt idx="305">
                  <c:v>10</c:v>
                </c:pt>
                <c:pt idx="306">
                  <c:v>17</c:v>
                </c:pt>
                <c:pt idx="307">
                  <c:v>21</c:v>
                </c:pt>
                <c:pt idx="308">
                  <c:v>11</c:v>
                </c:pt>
                <c:pt idx="309">
                  <c:v>15</c:v>
                </c:pt>
                <c:pt idx="310">
                  <c:v>30</c:v>
                </c:pt>
                <c:pt idx="311">
                  <c:v>23</c:v>
                </c:pt>
                <c:pt idx="312">
                  <c:v>53</c:v>
                </c:pt>
                <c:pt idx="313">
                  <c:v>18</c:v>
                </c:pt>
                <c:pt idx="314">
                  <c:v>20</c:v>
                </c:pt>
                <c:pt idx="315">
                  <c:v>31</c:v>
                </c:pt>
                <c:pt idx="316">
                  <c:v>70</c:v>
                </c:pt>
                <c:pt idx="317">
                  <c:v>20</c:v>
                </c:pt>
                <c:pt idx="318">
                  <c:v>6</c:v>
                </c:pt>
                <c:pt idx="319">
                  <c:v>24</c:v>
                </c:pt>
                <c:pt idx="320">
                  <c:v>25</c:v>
                </c:pt>
                <c:pt idx="321">
                  <c:v>28</c:v>
                </c:pt>
                <c:pt idx="322">
                  <c:v>12</c:v>
                </c:pt>
                <c:pt idx="323">
                  <c:v>21</c:v>
                </c:pt>
                <c:pt idx="324">
                  <c:v>14</c:v>
                </c:pt>
                <c:pt idx="325">
                  <c:v>20</c:v>
                </c:pt>
                <c:pt idx="326">
                  <c:v>9</c:v>
                </c:pt>
                <c:pt idx="327">
                  <c:v>19</c:v>
                </c:pt>
                <c:pt idx="328">
                  <c:v>17</c:v>
                </c:pt>
                <c:pt idx="329">
                  <c:v>17</c:v>
                </c:pt>
                <c:pt idx="330">
                  <c:v>10</c:v>
                </c:pt>
                <c:pt idx="331">
                  <c:v>19</c:v>
                </c:pt>
                <c:pt idx="332">
                  <c:v>11</c:v>
                </c:pt>
                <c:pt idx="333">
                  <c:v>8</c:v>
                </c:pt>
                <c:pt idx="334">
                  <c:v>7</c:v>
                </c:pt>
                <c:pt idx="335">
                  <c:v>21</c:v>
                </c:pt>
                <c:pt idx="336">
                  <c:v>8</c:v>
                </c:pt>
                <c:pt idx="337">
                  <c:v>5</c:v>
                </c:pt>
                <c:pt idx="338">
                  <c:v>19</c:v>
                </c:pt>
                <c:pt idx="339">
                  <c:v>16</c:v>
                </c:pt>
                <c:pt idx="340">
                  <c:v>13</c:v>
                </c:pt>
                <c:pt idx="341">
                  <c:v>18</c:v>
                </c:pt>
                <c:pt idx="342">
                  <c:v>32</c:v>
                </c:pt>
                <c:pt idx="343">
                  <c:v>21</c:v>
                </c:pt>
                <c:pt idx="344">
                  <c:v>14</c:v>
                </c:pt>
                <c:pt idx="345">
                  <c:v>14</c:v>
                </c:pt>
                <c:pt idx="346">
                  <c:v>17</c:v>
                </c:pt>
                <c:pt idx="347">
                  <c:v>17</c:v>
                </c:pt>
                <c:pt idx="348">
                  <c:v>6</c:v>
                </c:pt>
                <c:pt idx="349">
                  <c:v>33</c:v>
                </c:pt>
                <c:pt idx="350">
                  <c:v>6</c:v>
                </c:pt>
                <c:pt idx="351">
                  <c:v>8</c:v>
                </c:pt>
                <c:pt idx="352">
                  <c:v>10</c:v>
                </c:pt>
                <c:pt idx="353">
                  <c:v>8</c:v>
                </c:pt>
                <c:pt idx="354">
                  <c:v>14</c:v>
                </c:pt>
                <c:pt idx="355">
                  <c:v>11</c:v>
                </c:pt>
                <c:pt idx="356">
                  <c:v>0</c:v>
                </c:pt>
                <c:pt idx="357">
                  <c:v>14</c:v>
                </c:pt>
                <c:pt idx="358">
                  <c:v>20</c:v>
                </c:pt>
                <c:pt idx="359">
                  <c:v>3</c:v>
                </c:pt>
                <c:pt idx="360">
                  <c:v>60</c:v>
                </c:pt>
                <c:pt idx="361">
                  <c:v>38</c:v>
                </c:pt>
                <c:pt idx="362">
                  <c:v>16</c:v>
                </c:pt>
                <c:pt idx="363">
                  <c:v>5</c:v>
                </c:pt>
                <c:pt idx="364">
                  <c:v>5</c:v>
                </c:pt>
                <c:pt idx="365">
                  <c:v>26</c:v>
                </c:pt>
                <c:pt idx="366">
                  <c:v>17</c:v>
                </c:pt>
                <c:pt idx="367">
                  <c:v>44</c:v>
                </c:pt>
                <c:pt idx="368">
                  <c:v>46</c:v>
                </c:pt>
                <c:pt idx="369">
                  <c:v>28</c:v>
                </c:pt>
                <c:pt idx="370">
                  <c:v>15</c:v>
                </c:pt>
                <c:pt idx="371">
                  <c:v>8</c:v>
                </c:pt>
                <c:pt idx="372">
                  <c:v>5</c:v>
                </c:pt>
                <c:pt idx="373">
                  <c:v>18</c:v>
                </c:pt>
                <c:pt idx="374">
                  <c:v>20</c:v>
                </c:pt>
                <c:pt idx="375">
                  <c:v>10</c:v>
                </c:pt>
              </c:numCache>
            </c:numRef>
          </c:xVal>
          <c:yVal>
            <c:numRef>
              <c:f>Part2_CalDDS!$E$2:$E$478</c:f>
              <c:numCache>
                <c:formatCode>_("$"* #,##0_);_("$"* \(#,##0\);_("$"* "-"??_);_(@_)</c:formatCode>
                <c:ptCount val="376"/>
                <c:pt idx="0">
                  <c:v>1454</c:v>
                </c:pt>
                <c:pt idx="1">
                  <c:v>6400</c:v>
                </c:pt>
                <c:pt idx="2">
                  <c:v>4566</c:v>
                </c:pt>
                <c:pt idx="3">
                  <c:v>2887</c:v>
                </c:pt>
                <c:pt idx="4">
                  <c:v>3048</c:v>
                </c:pt>
                <c:pt idx="5">
                  <c:v>10047</c:v>
                </c:pt>
                <c:pt idx="6">
                  <c:v>1748</c:v>
                </c:pt>
                <c:pt idx="7">
                  <c:v>4515</c:v>
                </c:pt>
                <c:pt idx="8">
                  <c:v>1861</c:v>
                </c:pt>
                <c:pt idx="9">
                  <c:v>1598</c:v>
                </c:pt>
                <c:pt idx="10">
                  <c:v>46571</c:v>
                </c:pt>
                <c:pt idx="11">
                  <c:v>1066</c:v>
                </c:pt>
                <c:pt idx="12">
                  <c:v>2354</c:v>
                </c:pt>
                <c:pt idx="13">
                  <c:v>674</c:v>
                </c:pt>
                <c:pt idx="14">
                  <c:v>4968</c:v>
                </c:pt>
                <c:pt idx="15">
                  <c:v>2895</c:v>
                </c:pt>
                <c:pt idx="16">
                  <c:v>1915</c:v>
                </c:pt>
                <c:pt idx="17">
                  <c:v>4091</c:v>
                </c:pt>
                <c:pt idx="18">
                  <c:v>4798</c:v>
                </c:pt>
                <c:pt idx="19">
                  <c:v>3212</c:v>
                </c:pt>
                <c:pt idx="20">
                  <c:v>11998</c:v>
                </c:pt>
                <c:pt idx="21">
                  <c:v>50304</c:v>
                </c:pt>
                <c:pt idx="22">
                  <c:v>1130</c:v>
                </c:pt>
                <c:pt idx="23">
                  <c:v>38310</c:v>
                </c:pt>
                <c:pt idx="24">
                  <c:v>3638</c:v>
                </c:pt>
                <c:pt idx="25">
                  <c:v>7621</c:v>
                </c:pt>
                <c:pt idx="26">
                  <c:v>1423</c:v>
                </c:pt>
                <c:pt idx="27">
                  <c:v>4395</c:v>
                </c:pt>
                <c:pt idx="28">
                  <c:v>39521</c:v>
                </c:pt>
                <c:pt idx="29">
                  <c:v>15018</c:v>
                </c:pt>
                <c:pt idx="30">
                  <c:v>4525</c:v>
                </c:pt>
                <c:pt idx="31">
                  <c:v>3796</c:v>
                </c:pt>
                <c:pt idx="32">
                  <c:v>1363</c:v>
                </c:pt>
                <c:pt idx="33">
                  <c:v>60871</c:v>
                </c:pt>
                <c:pt idx="34">
                  <c:v>1713</c:v>
                </c:pt>
                <c:pt idx="35">
                  <c:v>49028</c:v>
                </c:pt>
                <c:pt idx="36">
                  <c:v>1977</c:v>
                </c:pt>
                <c:pt idx="37">
                  <c:v>3450</c:v>
                </c:pt>
                <c:pt idx="38">
                  <c:v>9161</c:v>
                </c:pt>
                <c:pt idx="39">
                  <c:v>3007</c:v>
                </c:pt>
                <c:pt idx="40">
                  <c:v>3269</c:v>
                </c:pt>
                <c:pt idx="41">
                  <c:v>40980</c:v>
                </c:pt>
                <c:pt idx="42">
                  <c:v>1196</c:v>
                </c:pt>
                <c:pt idx="43">
                  <c:v>51149</c:v>
                </c:pt>
                <c:pt idx="44">
                  <c:v>11038</c:v>
                </c:pt>
                <c:pt idx="45">
                  <c:v>12649</c:v>
                </c:pt>
                <c:pt idx="46">
                  <c:v>2664</c:v>
                </c:pt>
                <c:pt idx="47">
                  <c:v>59926</c:v>
                </c:pt>
                <c:pt idx="48">
                  <c:v>9972</c:v>
                </c:pt>
                <c:pt idx="49">
                  <c:v>5920</c:v>
                </c:pt>
                <c:pt idx="50">
                  <c:v>2549</c:v>
                </c:pt>
                <c:pt idx="51">
                  <c:v>2686</c:v>
                </c:pt>
                <c:pt idx="52">
                  <c:v>40277</c:v>
                </c:pt>
                <c:pt idx="53">
                  <c:v>4097</c:v>
                </c:pt>
                <c:pt idx="54">
                  <c:v>1957</c:v>
                </c:pt>
                <c:pt idx="55">
                  <c:v>1646</c:v>
                </c:pt>
                <c:pt idx="56">
                  <c:v>1525</c:v>
                </c:pt>
                <c:pt idx="57">
                  <c:v>1294</c:v>
                </c:pt>
                <c:pt idx="58">
                  <c:v>1435</c:v>
                </c:pt>
                <c:pt idx="59">
                  <c:v>8096</c:v>
                </c:pt>
                <c:pt idx="60">
                  <c:v>1123</c:v>
                </c:pt>
                <c:pt idx="61">
                  <c:v>3678</c:v>
                </c:pt>
                <c:pt idx="62">
                  <c:v>1740</c:v>
                </c:pt>
                <c:pt idx="63">
                  <c:v>15176</c:v>
                </c:pt>
                <c:pt idx="64">
                  <c:v>1963</c:v>
                </c:pt>
                <c:pt idx="65">
                  <c:v>4670</c:v>
                </c:pt>
                <c:pt idx="66">
                  <c:v>3394</c:v>
                </c:pt>
                <c:pt idx="67">
                  <c:v>995</c:v>
                </c:pt>
                <c:pt idx="68">
                  <c:v>16237</c:v>
                </c:pt>
                <c:pt idx="69">
                  <c:v>9592</c:v>
                </c:pt>
                <c:pt idx="70">
                  <c:v>2119</c:v>
                </c:pt>
                <c:pt idx="71">
                  <c:v>10292</c:v>
                </c:pt>
                <c:pt idx="72">
                  <c:v>3501</c:v>
                </c:pt>
                <c:pt idx="73">
                  <c:v>741</c:v>
                </c:pt>
                <c:pt idx="74">
                  <c:v>1016</c:v>
                </c:pt>
                <c:pt idx="75">
                  <c:v>1582</c:v>
                </c:pt>
                <c:pt idx="76">
                  <c:v>4723</c:v>
                </c:pt>
                <c:pt idx="77">
                  <c:v>2460</c:v>
                </c:pt>
                <c:pt idx="78">
                  <c:v>5718</c:v>
                </c:pt>
                <c:pt idx="79">
                  <c:v>1028</c:v>
                </c:pt>
                <c:pt idx="80">
                  <c:v>3141</c:v>
                </c:pt>
                <c:pt idx="81">
                  <c:v>3585</c:v>
                </c:pt>
                <c:pt idx="82">
                  <c:v>2039</c:v>
                </c:pt>
                <c:pt idx="83">
                  <c:v>43858</c:v>
                </c:pt>
                <c:pt idx="84">
                  <c:v>762</c:v>
                </c:pt>
                <c:pt idx="85">
                  <c:v>7081</c:v>
                </c:pt>
                <c:pt idx="86">
                  <c:v>2291</c:v>
                </c:pt>
                <c:pt idx="87">
                  <c:v>2359</c:v>
                </c:pt>
                <c:pt idx="88">
                  <c:v>40809</c:v>
                </c:pt>
                <c:pt idx="89">
                  <c:v>2211</c:v>
                </c:pt>
                <c:pt idx="90">
                  <c:v>11527</c:v>
                </c:pt>
                <c:pt idx="91">
                  <c:v>3959</c:v>
                </c:pt>
                <c:pt idx="92">
                  <c:v>966</c:v>
                </c:pt>
                <c:pt idx="93">
                  <c:v>7339</c:v>
                </c:pt>
                <c:pt idx="94">
                  <c:v>3378</c:v>
                </c:pt>
                <c:pt idx="95">
                  <c:v>4513</c:v>
                </c:pt>
                <c:pt idx="96">
                  <c:v>1473</c:v>
                </c:pt>
                <c:pt idx="97">
                  <c:v>4112</c:v>
                </c:pt>
                <c:pt idx="98">
                  <c:v>4653</c:v>
                </c:pt>
                <c:pt idx="99">
                  <c:v>7667</c:v>
                </c:pt>
                <c:pt idx="100">
                  <c:v>12587</c:v>
                </c:pt>
                <c:pt idx="101">
                  <c:v>668</c:v>
                </c:pt>
                <c:pt idx="102">
                  <c:v>6218</c:v>
                </c:pt>
                <c:pt idx="103">
                  <c:v>2015</c:v>
                </c:pt>
                <c:pt idx="104">
                  <c:v>8948</c:v>
                </c:pt>
                <c:pt idx="105">
                  <c:v>561</c:v>
                </c:pt>
                <c:pt idx="106">
                  <c:v>59622</c:v>
                </c:pt>
                <c:pt idx="107">
                  <c:v>4921</c:v>
                </c:pt>
                <c:pt idx="108">
                  <c:v>35088</c:v>
                </c:pt>
                <c:pt idx="109">
                  <c:v>1084</c:v>
                </c:pt>
                <c:pt idx="110">
                  <c:v>3695</c:v>
                </c:pt>
                <c:pt idx="111">
                  <c:v>1767</c:v>
                </c:pt>
                <c:pt idx="112">
                  <c:v>36738</c:v>
                </c:pt>
                <c:pt idx="113">
                  <c:v>49502</c:v>
                </c:pt>
                <c:pt idx="114">
                  <c:v>3522</c:v>
                </c:pt>
                <c:pt idx="115">
                  <c:v>2776</c:v>
                </c:pt>
                <c:pt idx="116">
                  <c:v>10150</c:v>
                </c:pt>
                <c:pt idx="117">
                  <c:v>7605</c:v>
                </c:pt>
                <c:pt idx="118">
                  <c:v>2954</c:v>
                </c:pt>
                <c:pt idx="119">
                  <c:v>38031</c:v>
                </c:pt>
                <c:pt idx="120">
                  <c:v>1173</c:v>
                </c:pt>
                <c:pt idx="121">
                  <c:v>12083</c:v>
                </c:pt>
                <c:pt idx="122">
                  <c:v>4533</c:v>
                </c:pt>
                <c:pt idx="123">
                  <c:v>62097</c:v>
                </c:pt>
                <c:pt idx="124">
                  <c:v>11935</c:v>
                </c:pt>
                <c:pt idx="125">
                  <c:v>11034</c:v>
                </c:pt>
                <c:pt idx="126">
                  <c:v>10294</c:v>
                </c:pt>
                <c:pt idx="127">
                  <c:v>16310</c:v>
                </c:pt>
                <c:pt idx="128">
                  <c:v>2490</c:v>
                </c:pt>
                <c:pt idx="129">
                  <c:v>11811</c:v>
                </c:pt>
                <c:pt idx="130">
                  <c:v>3945</c:v>
                </c:pt>
                <c:pt idx="131">
                  <c:v>2781</c:v>
                </c:pt>
                <c:pt idx="132">
                  <c:v>1597</c:v>
                </c:pt>
                <c:pt idx="133">
                  <c:v>48684</c:v>
                </c:pt>
                <c:pt idx="134">
                  <c:v>4975</c:v>
                </c:pt>
                <c:pt idx="135">
                  <c:v>3257</c:v>
                </c:pt>
                <c:pt idx="136">
                  <c:v>2247</c:v>
                </c:pt>
                <c:pt idx="137">
                  <c:v>1758</c:v>
                </c:pt>
                <c:pt idx="138">
                  <c:v>51392</c:v>
                </c:pt>
                <c:pt idx="139">
                  <c:v>4495</c:v>
                </c:pt>
                <c:pt idx="140">
                  <c:v>2744</c:v>
                </c:pt>
                <c:pt idx="141">
                  <c:v>3561</c:v>
                </c:pt>
                <c:pt idx="142">
                  <c:v>2906</c:v>
                </c:pt>
                <c:pt idx="143">
                  <c:v>5637</c:v>
                </c:pt>
                <c:pt idx="144">
                  <c:v>2904</c:v>
                </c:pt>
                <c:pt idx="145">
                  <c:v>39147</c:v>
                </c:pt>
                <c:pt idx="146">
                  <c:v>6397</c:v>
                </c:pt>
                <c:pt idx="147">
                  <c:v>7446</c:v>
                </c:pt>
                <c:pt idx="148">
                  <c:v>5163</c:v>
                </c:pt>
                <c:pt idx="149">
                  <c:v>52243</c:v>
                </c:pt>
                <c:pt idx="150">
                  <c:v>4774</c:v>
                </c:pt>
                <c:pt idx="151">
                  <c:v>51777</c:v>
                </c:pt>
                <c:pt idx="152">
                  <c:v>3141</c:v>
                </c:pt>
                <c:pt idx="153">
                  <c:v>36691</c:v>
                </c:pt>
                <c:pt idx="154">
                  <c:v>53211</c:v>
                </c:pt>
                <c:pt idx="155">
                  <c:v>5040</c:v>
                </c:pt>
                <c:pt idx="156">
                  <c:v>2167</c:v>
                </c:pt>
                <c:pt idx="157">
                  <c:v>55187</c:v>
                </c:pt>
                <c:pt idx="158">
                  <c:v>2797</c:v>
                </c:pt>
                <c:pt idx="159">
                  <c:v>4975</c:v>
                </c:pt>
                <c:pt idx="160">
                  <c:v>2755</c:v>
                </c:pt>
                <c:pt idx="161">
                  <c:v>2016</c:v>
                </c:pt>
                <c:pt idx="162">
                  <c:v>2810</c:v>
                </c:pt>
                <c:pt idx="163">
                  <c:v>3745</c:v>
                </c:pt>
                <c:pt idx="164">
                  <c:v>2854</c:v>
                </c:pt>
                <c:pt idx="165">
                  <c:v>1592</c:v>
                </c:pt>
                <c:pt idx="166">
                  <c:v>3445</c:v>
                </c:pt>
                <c:pt idx="167">
                  <c:v>4696</c:v>
                </c:pt>
                <c:pt idx="168">
                  <c:v>4163</c:v>
                </c:pt>
                <c:pt idx="169">
                  <c:v>4608</c:v>
                </c:pt>
                <c:pt idx="170">
                  <c:v>46951</c:v>
                </c:pt>
                <c:pt idx="171">
                  <c:v>3562</c:v>
                </c:pt>
                <c:pt idx="172">
                  <c:v>2746</c:v>
                </c:pt>
                <c:pt idx="173">
                  <c:v>8469</c:v>
                </c:pt>
                <c:pt idx="174">
                  <c:v>4219</c:v>
                </c:pt>
                <c:pt idx="175">
                  <c:v>52147</c:v>
                </c:pt>
                <c:pt idx="176">
                  <c:v>1363</c:v>
                </c:pt>
                <c:pt idx="177">
                  <c:v>3113</c:v>
                </c:pt>
                <c:pt idx="178">
                  <c:v>776</c:v>
                </c:pt>
                <c:pt idx="179">
                  <c:v>36827</c:v>
                </c:pt>
                <c:pt idx="180">
                  <c:v>3539</c:v>
                </c:pt>
                <c:pt idx="181">
                  <c:v>10230</c:v>
                </c:pt>
                <c:pt idx="182">
                  <c:v>8869</c:v>
                </c:pt>
                <c:pt idx="183">
                  <c:v>3379</c:v>
                </c:pt>
                <c:pt idx="184">
                  <c:v>3580</c:v>
                </c:pt>
                <c:pt idx="185">
                  <c:v>5228</c:v>
                </c:pt>
                <c:pt idx="186">
                  <c:v>13129</c:v>
                </c:pt>
                <c:pt idx="187">
                  <c:v>4152</c:v>
                </c:pt>
                <c:pt idx="188">
                  <c:v>3190</c:v>
                </c:pt>
                <c:pt idx="189">
                  <c:v>3443</c:v>
                </c:pt>
                <c:pt idx="190">
                  <c:v>2184</c:v>
                </c:pt>
                <c:pt idx="191">
                  <c:v>5412</c:v>
                </c:pt>
                <c:pt idx="192">
                  <c:v>4527</c:v>
                </c:pt>
                <c:pt idx="193">
                  <c:v>3003</c:v>
                </c:pt>
                <c:pt idx="194">
                  <c:v>7122</c:v>
                </c:pt>
                <c:pt idx="195">
                  <c:v>2191</c:v>
                </c:pt>
                <c:pt idx="196">
                  <c:v>57363</c:v>
                </c:pt>
                <c:pt idx="197">
                  <c:v>1641</c:v>
                </c:pt>
                <c:pt idx="198">
                  <c:v>54875</c:v>
                </c:pt>
                <c:pt idx="199">
                  <c:v>42041</c:v>
                </c:pt>
                <c:pt idx="200">
                  <c:v>47954</c:v>
                </c:pt>
                <c:pt idx="201">
                  <c:v>1632</c:v>
                </c:pt>
                <c:pt idx="202">
                  <c:v>11986</c:v>
                </c:pt>
                <c:pt idx="203">
                  <c:v>47420</c:v>
                </c:pt>
                <c:pt idx="204">
                  <c:v>4300</c:v>
                </c:pt>
                <c:pt idx="205">
                  <c:v>4787</c:v>
                </c:pt>
                <c:pt idx="206">
                  <c:v>2339</c:v>
                </c:pt>
                <c:pt idx="207">
                  <c:v>4345</c:v>
                </c:pt>
                <c:pt idx="208">
                  <c:v>9061</c:v>
                </c:pt>
                <c:pt idx="209">
                  <c:v>4931</c:v>
                </c:pt>
                <c:pt idx="210">
                  <c:v>11479</c:v>
                </c:pt>
                <c:pt idx="211">
                  <c:v>4798</c:v>
                </c:pt>
                <c:pt idx="212">
                  <c:v>1713</c:v>
                </c:pt>
                <c:pt idx="213">
                  <c:v>2462</c:v>
                </c:pt>
                <c:pt idx="214">
                  <c:v>4884</c:v>
                </c:pt>
                <c:pt idx="215">
                  <c:v>4058</c:v>
                </c:pt>
                <c:pt idx="216">
                  <c:v>3464</c:v>
                </c:pt>
                <c:pt idx="217">
                  <c:v>1539</c:v>
                </c:pt>
                <c:pt idx="218">
                  <c:v>5066</c:v>
                </c:pt>
                <c:pt idx="219">
                  <c:v>456</c:v>
                </c:pt>
                <c:pt idx="220">
                  <c:v>1147</c:v>
                </c:pt>
                <c:pt idx="221">
                  <c:v>1286</c:v>
                </c:pt>
                <c:pt idx="222">
                  <c:v>4731</c:v>
                </c:pt>
                <c:pt idx="223">
                  <c:v>3629</c:v>
                </c:pt>
                <c:pt idx="224">
                  <c:v>5616</c:v>
                </c:pt>
                <c:pt idx="225">
                  <c:v>27845</c:v>
                </c:pt>
                <c:pt idx="226">
                  <c:v>2409</c:v>
                </c:pt>
                <c:pt idx="227">
                  <c:v>10247</c:v>
                </c:pt>
                <c:pt idx="228">
                  <c:v>2153</c:v>
                </c:pt>
                <c:pt idx="229">
                  <c:v>847</c:v>
                </c:pt>
                <c:pt idx="230">
                  <c:v>11470</c:v>
                </c:pt>
                <c:pt idx="231">
                  <c:v>3698</c:v>
                </c:pt>
                <c:pt idx="232">
                  <c:v>2308</c:v>
                </c:pt>
                <c:pt idx="233">
                  <c:v>4527</c:v>
                </c:pt>
                <c:pt idx="234">
                  <c:v>1254</c:v>
                </c:pt>
                <c:pt idx="235">
                  <c:v>1110</c:v>
                </c:pt>
                <c:pt idx="236">
                  <c:v>3423</c:v>
                </c:pt>
                <c:pt idx="237">
                  <c:v>1184</c:v>
                </c:pt>
                <c:pt idx="238">
                  <c:v>1689</c:v>
                </c:pt>
                <c:pt idx="239">
                  <c:v>1560</c:v>
                </c:pt>
                <c:pt idx="240">
                  <c:v>14729</c:v>
                </c:pt>
                <c:pt idx="241">
                  <c:v>14926</c:v>
                </c:pt>
                <c:pt idx="242">
                  <c:v>2143</c:v>
                </c:pt>
                <c:pt idx="243">
                  <c:v>8511</c:v>
                </c:pt>
                <c:pt idx="244">
                  <c:v>49548</c:v>
                </c:pt>
                <c:pt idx="245">
                  <c:v>2493</c:v>
                </c:pt>
                <c:pt idx="246">
                  <c:v>13579</c:v>
                </c:pt>
                <c:pt idx="247">
                  <c:v>36621</c:v>
                </c:pt>
                <c:pt idx="248">
                  <c:v>2498</c:v>
                </c:pt>
                <c:pt idx="249">
                  <c:v>2797</c:v>
                </c:pt>
                <c:pt idx="250">
                  <c:v>4963</c:v>
                </c:pt>
                <c:pt idx="251">
                  <c:v>1417</c:v>
                </c:pt>
                <c:pt idx="252">
                  <c:v>2643</c:v>
                </c:pt>
                <c:pt idx="253">
                  <c:v>1903</c:v>
                </c:pt>
                <c:pt idx="254">
                  <c:v>2760</c:v>
                </c:pt>
                <c:pt idx="255">
                  <c:v>6690</c:v>
                </c:pt>
                <c:pt idx="256">
                  <c:v>11629</c:v>
                </c:pt>
                <c:pt idx="257">
                  <c:v>5055</c:v>
                </c:pt>
                <c:pt idx="258">
                  <c:v>3911</c:v>
                </c:pt>
                <c:pt idx="259">
                  <c:v>3225</c:v>
                </c:pt>
                <c:pt idx="260">
                  <c:v>4152</c:v>
                </c:pt>
                <c:pt idx="261">
                  <c:v>7805</c:v>
                </c:pt>
                <c:pt idx="262">
                  <c:v>3702</c:v>
                </c:pt>
                <c:pt idx="263">
                  <c:v>16677</c:v>
                </c:pt>
                <c:pt idx="264">
                  <c:v>3395</c:v>
                </c:pt>
                <c:pt idx="265">
                  <c:v>3099</c:v>
                </c:pt>
                <c:pt idx="266">
                  <c:v>3088</c:v>
                </c:pt>
                <c:pt idx="267">
                  <c:v>14221</c:v>
                </c:pt>
                <c:pt idx="268">
                  <c:v>2634</c:v>
                </c:pt>
                <c:pt idx="269">
                  <c:v>45409</c:v>
                </c:pt>
                <c:pt idx="270">
                  <c:v>3829</c:v>
                </c:pt>
                <c:pt idx="271">
                  <c:v>3060</c:v>
                </c:pt>
                <c:pt idx="272">
                  <c:v>1702</c:v>
                </c:pt>
                <c:pt idx="273">
                  <c:v>6977</c:v>
                </c:pt>
                <c:pt idx="274">
                  <c:v>3633</c:v>
                </c:pt>
                <c:pt idx="275">
                  <c:v>12603</c:v>
                </c:pt>
                <c:pt idx="276">
                  <c:v>3203</c:v>
                </c:pt>
                <c:pt idx="277">
                  <c:v>1609</c:v>
                </c:pt>
                <c:pt idx="278">
                  <c:v>11176</c:v>
                </c:pt>
                <c:pt idx="279">
                  <c:v>11180</c:v>
                </c:pt>
                <c:pt idx="280">
                  <c:v>1416</c:v>
                </c:pt>
                <c:pt idx="281">
                  <c:v>3677</c:v>
                </c:pt>
                <c:pt idx="282">
                  <c:v>1661</c:v>
                </c:pt>
                <c:pt idx="283">
                  <c:v>5347</c:v>
                </c:pt>
                <c:pt idx="284">
                  <c:v>4378</c:v>
                </c:pt>
                <c:pt idx="285">
                  <c:v>40572</c:v>
                </c:pt>
                <c:pt idx="286">
                  <c:v>793</c:v>
                </c:pt>
                <c:pt idx="287">
                  <c:v>2865</c:v>
                </c:pt>
                <c:pt idx="288">
                  <c:v>1167</c:v>
                </c:pt>
                <c:pt idx="289">
                  <c:v>5304</c:v>
                </c:pt>
                <c:pt idx="290">
                  <c:v>1776</c:v>
                </c:pt>
                <c:pt idx="291">
                  <c:v>15711</c:v>
                </c:pt>
                <c:pt idx="292">
                  <c:v>3704</c:v>
                </c:pt>
                <c:pt idx="293">
                  <c:v>9162</c:v>
                </c:pt>
                <c:pt idx="294">
                  <c:v>9341</c:v>
                </c:pt>
                <c:pt idx="295">
                  <c:v>48121</c:v>
                </c:pt>
                <c:pt idx="296">
                  <c:v>37367</c:v>
                </c:pt>
                <c:pt idx="297">
                  <c:v>4260</c:v>
                </c:pt>
                <c:pt idx="298">
                  <c:v>1458</c:v>
                </c:pt>
                <c:pt idx="299">
                  <c:v>1804</c:v>
                </c:pt>
                <c:pt idx="300">
                  <c:v>1934</c:v>
                </c:pt>
                <c:pt idx="301">
                  <c:v>65581</c:v>
                </c:pt>
                <c:pt idx="302">
                  <c:v>46437</c:v>
                </c:pt>
                <c:pt idx="303">
                  <c:v>37708</c:v>
                </c:pt>
                <c:pt idx="304">
                  <c:v>987</c:v>
                </c:pt>
                <c:pt idx="305">
                  <c:v>1590</c:v>
                </c:pt>
                <c:pt idx="306">
                  <c:v>4496</c:v>
                </c:pt>
                <c:pt idx="307">
                  <c:v>13468</c:v>
                </c:pt>
                <c:pt idx="308">
                  <c:v>1905</c:v>
                </c:pt>
                <c:pt idx="309">
                  <c:v>3251</c:v>
                </c:pt>
                <c:pt idx="310">
                  <c:v>42070</c:v>
                </c:pt>
                <c:pt idx="311">
                  <c:v>40159</c:v>
                </c:pt>
                <c:pt idx="312">
                  <c:v>50176</c:v>
                </c:pt>
                <c:pt idx="313">
                  <c:v>10439</c:v>
                </c:pt>
                <c:pt idx="314">
                  <c:v>11810</c:v>
                </c:pt>
                <c:pt idx="315">
                  <c:v>34021</c:v>
                </c:pt>
                <c:pt idx="316">
                  <c:v>50230</c:v>
                </c:pt>
                <c:pt idx="317">
                  <c:v>9932</c:v>
                </c:pt>
                <c:pt idx="318">
                  <c:v>2924</c:v>
                </c:pt>
                <c:pt idx="319">
                  <c:v>37663</c:v>
                </c:pt>
                <c:pt idx="320">
                  <c:v>31943</c:v>
                </c:pt>
                <c:pt idx="321">
                  <c:v>26178</c:v>
                </c:pt>
                <c:pt idx="322">
                  <c:v>3732</c:v>
                </c:pt>
                <c:pt idx="323">
                  <c:v>8957</c:v>
                </c:pt>
                <c:pt idx="324">
                  <c:v>5280</c:v>
                </c:pt>
                <c:pt idx="325">
                  <c:v>3749</c:v>
                </c:pt>
                <c:pt idx="326">
                  <c:v>1416</c:v>
                </c:pt>
                <c:pt idx="327">
                  <c:v>9760</c:v>
                </c:pt>
                <c:pt idx="328">
                  <c:v>3747</c:v>
                </c:pt>
                <c:pt idx="329">
                  <c:v>4221</c:v>
                </c:pt>
                <c:pt idx="330">
                  <c:v>3060</c:v>
                </c:pt>
                <c:pt idx="331">
                  <c:v>12523</c:v>
                </c:pt>
                <c:pt idx="332">
                  <c:v>2839</c:v>
                </c:pt>
                <c:pt idx="333">
                  <c:v>1714</c:v>
                </c:pt>
                <c:pt idx="334">
                  <c:v>1875</c:v>
                </c:pt>
                <c:pt idx="335">
                  <c:v>8707</c:v>
                </c:pt>
                <c:pt idx="336">
                  <c:v>2717</c:v>
                </c:pt>
                <c:pt idx="337">
                  <c:v>1684</c:v>
                </c:pt>
                <c:pt idx="338">
                  <c:v>5988</c:v>
                </c:pt>
                <c:pt idx="339">
                  <c:v>3702</c:v>
                </c:pt>
                <c:pt idx="340">
                  <c:v>3887</c:v>
                </c:pt>
                <c:pt idx="341">
                  <c:v>13730</c:v>
                </c:pt>
                <c:pt idx="342">
                  <c:v>35435</c:v>
                </c:pt>
                <c:pt idx="343">
                  <c:v>6904</c:v>
                </c:pt>
                <c:pt idx="344">
                  <c:v>3703</c:v>
                </c:pt>
                <c:pt idx="345">
                  <c:v>3319</c:v>
                </c:pt>
                <c:pt idx="346">
                  <c:v>3478</c:v>
                </c:pt>
                <c:pt idx="347">
                  <c:v>4791</c:v>
                </c:pt>
                <c:pt idx="348">
                  <c:v>1898</c:v>
                </c:pt>
                <c:pt idx="349">
                  <c:v>40517</c:v>
                </c:pt>
                <c:pt idx="350">
                  <c:v>1997</c:v>
                </c:pt>
                <c:pt idx="351">
                  <c:v>1189</c:v>
                </c:pt>
                <c:pt idx="352">
                  <c:v>2484</c:v>
                </c:pt>
                <c:pt idx="353">
                  <c:v>2430</c:v>
                </c:pt>
                <c:pt idx="354">
                  <c:v>3792</c:v>
                </c:pt>
                <c:pt idx="355">
                  <c:v>2212</c:v>
                </c:pt>
                <c:pt idx="356">
                  <c:v>1360</c:v>
                </c:pt>
                <c:pt idx="357">
                  <c:v>4680</c:v>
                </c:pt>
                <c:pt idx="358">
                  <c:v>14003</c:v>
                </c:pt>
                <c:pt idx="359">
                  <c:v>1485</c:v>
                </c:pt>
                <c:pt idx="360">
                  <c:v>62717</c:v>
                </c:pt>
                <c:pt idx="361">
                  <c:v>37378</c:v>
                </c:pt>
                <c:pt idx="362">
                  <c:v>2104</c:v>
                </c:pt>
                <c:pt idx="363">
                  <c:v>222</c:v>
                </c:pt>
                <c:pt idx="364">
                  <c:v>1003</c:v>
                </c:pt>
                <c:pt idx="365">
                  <c:v>36440</c:v>
                </c:pt>
                <c:pt idx="366">
                  <c:v>5241</c:v>
                </c:pt>
                <c:pt idx="367">
                  <c:v>46144</c:v>
                </c:pt>
                <c:pt idx="368">
                  <c:v>52222</c:v>
                </c:pt>
                <c:pt idx="369">
                  <c:v>29588</c:v>
                </c:pt>
                <c:pt idx="370">
                  <c:v>3641</c:v>
                </c:pt>
                <c:pt idx="371">
                  <c:v>2441</c:v>
                </c:pt>
                <c:pt idx="372">
                  <c:v>1411</c:v>
                </c:pt>
                <c:pt idx="373">
                  <c:v>5298</c:v>
                </c:pt>
                <c:pt idx="374">
                  <c:v>7494</c:v>
                </c:pt>
                <c:pt idx="375">
                  <c:v>3638</c:v>
                </c:pt>
              </c:numCache>
            </c:numRef>
          </c:yVal>
          <c:smooth val="0"/>
          <c:extLst>
            <c:ext xmlns:c16="http://schemas.microsoft.com/office/drawing/2014/chart" uri="{C3380CC4-5D6E-409C-BE32-E72D297353CC}">
              <c16:uniqueId val="{00000000-59F1-438E-A784-DB861CAF477C}"/>
            </c:ext>
          </c:extLst>
        </c:ser>
        <c:ser>
          <c:idx val="1"/>
          <c:order val="1"/>
          <c:tx>
            <c:v>White not Hispanic</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Part2_CalDDS!$C$479:$C$1000</c:f>
              <c:numCache>
                <c:formatCode>General</c:formatCode>
                <c:ptCount val="400"/>
                <c:pt idx="0">
                  <c:v>17</c:v>
                </c:pt>
                <c:pt idx="1">
                  <c:v>37</c:v>
                </c:pt>
                <c:pt idx="2">
                  <c:v>13</c:v>
                </c:pt>
                <c:pt idx="3">
                  <c:v>13</c:v>
                </c:pt>
                <c:pt idx="4">
                  <c:v>14</c:v>
                </c:pt>
                <c:pt idx="5">
                  <c:v>13</c:v>
                </c:pt>
                <c:pt idx="6">
                  <c:v>15</c:v>
                </c:pt>
                <c:pt idx="7">
                  <c:v>23</c:v>
                </c:pt>
                <c:pt idx="8">
                  <c:v>71</c:v>
                </c:pt>
                <c:pt idx="9">
                  <c:v>13</c:v>
                </c:pt>
                <c:pt idx="10">
                  <c:v>63</c:v>
                </c:pt>
                <c:pt idx="11">
                  <c:v>1</c:v>
                </c:pt>
                <c:pt idx="12">
                  <c:v>27</c:v>
                </c:pt>
                <c:pt idx="13">
                  <c:v>21</c:v>
                </c:pt>
                <c:pt idx="14">
                  <c:v>14</c:v>
                </c:pt>
                <c:pt idx="15">
                  <c:v>3</c:v>
                </c:pt>
                <c:pt idx="16">
                  <c:v>30</c:v>
                </c:pt>
                <c:pt idx="17">
                  <c:v>33</c:v>
                </c:pt>
                <c:pt idx="18">
                  <c:v>25</c:v>
                </c:pt>
                <c:pt idx="19">
                  <c:v>17</c:v>
                </c:pt>
                <c:pt idx="20">
                  <c:v>33</c:v>
                </c:pt>
                <c:pt idx="21">
                  <c:v>24</c:v>
                </c:pt>
                <c:pt idx="22">
                  <c:v>63</c:v>
                </c:pt>
                <c:pt idx="23">
                  <c:v>1</c:v>
                </c:pt>
                <c:pt idx="24">
                  <c:v>75</c:v>
                </c:pt>
                <c:pt idx="25">
                  <c:v>27</c:v>
                </c:pt>
                <c:pt idx="26">
                  <c:v>24</c:v>
                </c:pt>
                <c:pt idx="27">
                  <c:v>51</c:v>
                </c:pt>
                <c:pt idx="28">
                  <c:v>15</c:v>
                </c:pt>
                <c:pt idx="29">
                  <c:v>22</c:v>
                </c:pt>
                <c:pt idx="30">
                  <c:v>24</c:v>
                </c:pt>
                <c:pt idx="31">
                  <c:v>18</c:v>
                </c:pt>
                <c:pt idx="32">
                  <c:v>29</c:v>
                </c:pt>
                <c:pt idx="33">
                  <c:v>17</c:v>
                </c:pt>
                <c:pt idx="34">
                  <c:v>13</c:v>
                </c:pt>
                <c:pt idx="35">
                  <c:v>48</c:v>
                </c:pt>
                <c:pt idx="36">
                  <c:v>16</c:v>
                </c:pt>
                <c:pt idx="37">
                  <c:v>28</c:v>
                </c:pt>
                <c:pt idx="38">
                  <c:v>22</c:v>
                </c:pt>
                <c:pt idx="39">
                  <c:v>27</c:v>
                </c:pt>
                <c:pt idx="40">
                  <c:v>3</c:v>
                </c:pt>
                <c:pt idx="41">
                  <c:v>22</c:v>
                </c:pt>
                <c:pt idx="42">
                  <c:v>15</c:v>
                </c:pt>
                <c:pt idx="43">
                  <c:v>41</c:v>
                </c:pt>
                <c:pt idx="44">
                  <c:v>60</c:v>
                </c:pt>
                <c:pt idx="45">
                  <c:v>23</c:v>
                </c:pt>
                <c:pt idx="46">
                  <c:v>36</c:v>
                </c:pt>
                <c:pt idx="47">
                  <c:v>21</c:v>
                </c:pt>
                <c:pt idx="48">
                  <c:v>80</c:v>
                </c:pt>
                <c:pt idx="49">
                  <c:v>6</c:v>
                </c:pt>
                <c:pt idx="50">
                  <c:v>25</c:v>
                </c:pt>
                <c:pt idx="51">
                  <c:v>0</c:v>
                </c:pt>
                <c:pt idx="52">
                  <c:v>65</c:v>
                </c:pt>
                <c:pt idx="53">
                  <c:v>19</c:v>
                </c:pt>
                <c:pt idx="54">
                  <c:v>33</c:v>
                </c:pt>
                <c:pt idx="55">
                  <c:v>5</c:v>
                </c:pt>
                <c:pt idx="56">
                  <c:v>18</c:v>
                </c:pt>
                <c:pt idx="57">
                  <c:v>24</c:v>
                </c:pt>
                <c:pt idx="58">
                  <c:v>27</c:v>
                </c:pt>
                <c:pt idx="59">
                  <c:v>37</c:v>
                </c:pt>
                <c:pt idx="60">
                  <c:v>22</c:v>
                </c:pt>
                <c:pt idx="61">
                  <c:v>4</c:v>
                </c:pt>
                <c:pt idx="62">
                  <c:v>4</c:v>
                </c:pt>
                <c:pt idx="63">
                  <c:v>18</c:v>
                </c:pt>
                <c:pt idx="64">
                  <c:v>35</c:v>
                </c:pt>
                <c:pt idx="65">
                  <c:v>18</c:v>
                </c:pt>
                <c:pt idx="66">
                  <c:v>4</c:v>
                </c:pt>
                <c:pt idx="67">
                  <c:v>0</c:v>
                </c:pt>
                <c:pt idx="68">
                  <c:v>15</c:v>
                </c:pt>
                <c:pt idx="69">
                  <c:v>2</c:v>
                </c:pt>
                <c:pt idx="70">
                  <c:v>21</c:v>
                </c:pt>
                <c:pt idx="71">
                  <c:v>27</c:v>
                </c:pt>
                <c:pt idx="72">
                  <c:v>82</c:v>
                </c:pt>
                <c:pt idx="73">
                  <c:v>21</c:v>
                </c:pt>
                <c:pt idx="74">
                  <c:v>28</c:v>
                </c:pt>
                <c:pt idx="75">
                  <c:v>40</c:v>
                </c:pt>
                <c:pt idx="76">
                  <c:v>23</c:v>
                </c:pt>
                <c:pt idx="77">
                  <c:v>42</c:v>
                </c:pt>
                <c:pt idx="78">
                  <c:v>11</c:v>
                </c:pt>
                <c:pt idx="79">
                  <c:v>74</c:v>
                </c:pt>
                <c:pt idx="80">
                  <c:v>33</c:v>
                </c:pt>
                <c:pt idx="81">
                  <c:v>17</c:v>
                </c:pt>
                <c:pt idx="82">
                  <c:v>25</c:v>
                </c:pt>
                <c:pt idx="83">
                  <c:v>12</c:v>
                </c:pt>
                <c:pt idx="84">
                  <c:v>11</c:v>
                </c:pt>
                <c:pt idx="85">
                  <c:v>62</c:v>
                </c:pt>
                <c:pt idx="86">
                  <c:v>9</c:v>
                </c:pt>
                <c:pt idx="87">
                  <c:v>20</c:v>
                </c:pt>
                <c:pt idx="88">
                  <c:v>24</c:v>
                </c:pt>
                <c:pt idx="89">
                  <c:v>8</c:v>
                </c:pt>
                <c:pt idx="90">
                  <c:v>30</c:v>
                </c:pt>
                <c:pt idx="91">
                  <c:v>56</c:v>
                </c:pt>
                <c:pt idx="92">
                  <c:v>16</c:v>
                </c:pt>
                <c:pt idx="93">
                  <c:v>20</c:v>
                </c:pt>
                <c:pt idx="94">
                  <c:v>9</c:v>
                </c:pt>
                <c:pt idx="95">
                  <c:v>4</c:v>
                </c:pt>
                <c:pt idx="96">
                  <c:v>10</c:v>
                </c:pt>
                <c:pt idx="97">
                  <c:v>71</c:v>
                </c:pt>
                <c:pt idx="98">
                  <c:v>88</c:v>
                </c:pt>
                <c:pt idx="99">
                  <c:v>11</c:v>
                </c:pt>
                <c:pt idx="100">
                  <c:v>10</c:v>
                </c:pt>
                <c:pt idx="101">
                  <c:v>10</c:v>
                </c:pt>
                <c:pt idx="102">
                  <c:v>25</c:v>
                </c:pt>
                <c:pt idx="103">
                  <c:v>19</c:v>
                </c:pt>
                <c:pt idx="104">
                  <c:v>20</c:v>
                </c:pt>
                <c:pt idx="105">
                  <c:v>24</c:v>
                </c:pt>
                <c:pt idx="106">
                  <c:v>27</c:v>
                </c:pt>
                <c:pt idx="107">
                  <c:v>20</c:v>
                </c:pt>
                <c:pt idx="108">
                  <c:v>11</c:v>
                </c:pt>
                <c:pt idx="109">
                  <c:v>2</c:v>
                </c:pt>
                <c:pt idx="110">
                  <c:v>18</c:v>
                </c:pt>
                <c:pt idx="111">
                  <c:v>12</c:v>
                </c:pt>
                <c:pt idx="112">
                  <c:v>13</c:v>
                </c:pt>
                <c:pt idx="113">
                  <c:v>69</c:v>
                </c:pt>
                <c:pt idx="114">
                  <c:v>23</c:v>
                </c:pt>
                <c:pt idx="115">
                  <c:v>31</c:v>
                </c:pt>
                <c:pt idx="116">
                  <c:v>21</c:v>
                </c:pt>
                <c:pt idx="117">
                  <c:v>85</c:v>
                </c:pt>
                <c:pt idx="118">
                  <c:v>27</c:v>
                </c:pt>
                <c:pt idx="119">
                  <c:v>30</c:v>
                </c:pt>
                <c:pt idx="120">
                  <c:v>18</c:v>
                </c:pt>
                <c:pt idx="121">
                  <c:v>20</c:v>
                </c:pt>
                <c:pt idx="122">
                  <c:v>1</c:v>
                </c:pt>
                <c:pt idx="123">
                  <c:v>19</c:v>
                </c:pt>
                <c:pt idx="124">
                  <c:v>9</c:v>
                </c:pt>
                <c:pt idx="125">
                  <c:v>19</c:v>
                </c:pt>
                <c:pt idx="126">
                  <c:v>17</c:v>
                </c:pt>
                <c:pt idx="127">
                  <c:v>18</c:v>
                </c:pt>
                <c:pt idx="128">
                  <c:v>19</c:v>
                </c:pt>
                <c:pt idx="129">
                  <c:v>37</c:v>
                </c:pt>
                <c:pt idx="130">
                  <c:v>14</c:v>
                </c:pt>
                <c:pt idx="131">
                  <c:v>24</c:v>
                </c:pt>
                <c:pt idx="132">
                  <c:v>20</c:v>
                </c:pt>
                <c:pt idx="133">
                  <c:v>0</c:v>
                </c:pt>
                <c:pt idx="134">
                  <c:v>59</c:v>
                </c:pt>
                <c:pt idx="135">
                  <c:v>54</c:v>
                </c:pt>
                <c:pt idx="136">
                  <c:v>5</c:v>
                </c:pt>
                <c:pt idx="137">
                  <c:v>30</c:v>
                </c:pt>
                <c:pt idx="138">
                  <c:v>12</c:v>
                </c:pt>
                <c:pt idx="139">
                  <c:v>21</c:v>
                </c:pt>
                <c:pt idx="140">
                  <c:v>14</c:v>
                </c:pt>
                <c:pt idx="141">
                  <c:v>32</c:v>
                </c:pt>
                <c:pt idx="142">
                  <c:v>7</c:v>
                </c:pt>
                <c:pt idx="143">
                  <c:v>16</c:v>
                </c:pt>
                <c:pt idx="144">
                  <c:v>16</c:v>
                </c:pt>
                <c:pt idx="145">
                  <c:v>74</c:v>
                </c:pt>
                <c:pt idx="146">
                  <c:v>86</c:v>
                </c:pt>
                <c:pt idx="147">
                  <c:v>74</c:v>
                </c:pt>
                <c:pt idx="148">
                  <c:v>21</c:v>
                </c:pt>
                <c:pt idx="149">
                  <c:v>34</c:v>
                </c:pt>
                <c:pt idx="150">
                  <c:v>57</c:v>
                </c:pt>
                <c:pt idx="151">
                  <c:v>16</c:v>
                </c:pt>
                <c:pt idx="152">
                  <c:v>9</c:v>
                </c:pt>
                <c:pt idx="153">
                  <c:v>15</c:v>
                </c:pt>
                <c:pt idx="154">
                  <c:v>17</c:v>
                </c:pt>
                <c:pt idx="155">
                  <c:v>27</c:v>
                </c:pt>
                <c:pt idx="156">
                  <c:v>12</c:v>
                </c:pt>
                <c:pt idx="157">
                  <c:v>26</c:v>
                </c:pt>
                <c:pt idx="158">
                  <c:v>28</c:v>
                </c:pt>
                <c:pt idx="159">
                  <c:v>57</c:v>
                </c:pt>
                <c:pt idx="160">
                  <c:v>76</c:v>
                </c:pt>
                <c:pt idx="161">
                  <c:v>14</c:v>
                </c:pt>
                <c:pt idx="162">
                  <c:v>8</c:v>
                </c:pt>
                <c:pt idx="163">
                  <c:v>11</c:v>
                </c:pt>
                <c:pt idx="164">
                  <c:v>89</c:v>
                </c:pt>
                <c:pt idx="165">
                  <c:v>2</c:v>
                </c:pt>
                <c:pt idx="166">
                  <c:v>73</c:v>
                </c:pt>
                <c:pt idx="167">
                  <c:v>19</c:v>
                </c:pt>
                <c:pt idx="168">
                  <c:v>13</c:v>
                </c:pt>
                <c:pt idx="169">
                  <c:v>33</c:v>
                </c:pt>
                <c:pt idx="170">
                  <c:v>7</c:v>
                </c:pt>
                <c:pt idx="171">
                  <c:v>35</c:v>
                </c:pt>
                <c:pt idx="172">
                  <c:v>16</c:v>
                </c:pt>
                <c:pt idx="173">
                  <c:v>22</c:v>
                </c:pt>
                <c:pt idx="174">
                  <c:v>64</c:v>
                </c:pt>
                <c:pt idx="175">
                  <c:v>16</c:v>
                </c:pt>
                <c:pt idx="176">
                  <c:v>13</c:v>
                </c:pt>
                <c:pt idx="177">
                  <c:v>10</c:v>
                </c:pt>
                <c:pt idx="178">
                  <c:v>25</c:v>
                </c:pt>
                <c:pt idx="179">
                  <c:v>25</c:v>
                </c:pt>
                <c:pt idx="180">
                  <c:v>16</c:v>
                </c:pt>
                <c:pt idx="181">
                  <c:v>15</c:v>
                </c:pt>
                <c:pt idx="182">
                  <c:v>18</c:v>
                </c:pt>
                <c:pt idx="183">
                  <c:v>7</c:v>
                </c:pt>
                <c:pt idx="184">
                  <c:v>13</c:v>
                </c:pt>
                <c:pt idx="185">
                  <c:v>23</c:v>
                </c:pt>
                <c:pt idx="186">
                  <c:v>16</c:v>
                </c:pt>
                <c:pt idx="187">
                  <c:v>27</c:v>
                </c:pt>
                <c:pt idx="188">
                  <c:v>24</c:v>
                </c:pt>
                <c:pt idx="189">
                  <c:v>30</c:v>
                </c:pt>
                <c:pt idx="190">
                  <c:v>30</c:v>
                </c:pt>
                <c:pt idx="191">
                  <c:v>55</c:v>
                </c:pt>
                <c:pt idx="192">
                  <c:v>10</c:v>
                </c:pt>
                <c:pt idx="193">
                  <c:v>71</c:v>
                </c:pt>
                <c:pt idx="194">
                  <c:v>31</c:v>
                </c:pt>
                <c:pt idx="195">
                  <c:v>14</c:v>
                </c:pt>
                <c:pt idx="196">
                  <c:v>33</c:v>
                </c:pt>
                <c:pt idx="197">
                  <c:v>20</c:v>
                </c:pt>
                <c:pt idx="198">
                  <c:v>12</c:v>
                </c:pt>
                <c:pt idx="199">
                  <c:v>17</c:v>
                </c:pt>
                <c:pt idx="200">
                  <c:v>13</c:v>
                </c:pt>
                <c:pt idx="201">
                  <c:v>24</c:v>
                </c:pt>
                <c:pt idx="202">
                  <c:v>15</c:v>
                </c:pt>
                <c:pt idx="203">
                  <c:v>32</c:v>
                </c:pt>
                <c:pt idx="204">
                  <c:v>21</c:v>
                </c:pt>
                <c:pt idx="205">
                  <c:v>20</c:v>
                </c:pt>
                <c:pt idx="206">
                  <c:v>26</c:v>
                </c:pt>
                <c:pt idx="207">
                  <c:v>20</c:v>
                </c:pt>
                <c:pt idx="208">
                  <c:v>20</c:v>
                </c:pt>
                <c:pt idx="209">
                  <c:v>21</c:v>
                </c:pt>
                <c:pt idx="210">
                  <c:v>72</c:v>
                </c:pt>
                <c:pt idx="211">
                  <c:v>21</c:v>
                </c:pt>
                <c:pt idx="212">
                  <c:v>64</c:v>
                </c:pt>
                <c:pt idx="213">
                  <c:v>23</c:v>
                </c:pt>
                <c:pt idx="214">
                  <c:v>19</c:v>
                </c:pt>
                <c:pt idx="215">
                  <c:v>14</c:v>
                </c:pt>
                <c:pt idx="216">
                  <c:v>80</c:v>
                </c:pt>
                <c:pt idx="217">
                  <c:v>17</c:v>
                </c:pt>
                <c:pt idx="218">
                  <c:v>8</c:v>
                </c:pt>
                <c:pt idx="219">
                  <c:v>27</c:v>
                </c:pt>
                <c:pt idx="220">
                  <c:v>83</c:v>
                </c:pt>
                <c:pt idx="221">
                  <c:v>21</c:v>
                </c:pt>
                <c:pt idx="222">
                  <c:v>26</c:v>
                </c:pt>
                <c:pt idx="223">
                  <c:v>8</c:v>
                </c:pt>
                <c:pt idx="224">
                  <c:v>19</c:v>
                </c:pt>
                <c:pt idx="225">
                  <c:v>17</c:v>
                </c:pt>
                <c:pt idx="226">
                  <c:v>35</c:v>
                </c:pt>
                <c:pt idx="227">
                  <c:v>5</c:v>
                </c:pt>
                <c:pt idx="228">
                  <c:v>16</c:v>
                </c:pt>
                <c:pt idx="229">
                  <c:v>69</c:v>
                </c:pt>
                <c:pt idx="230">
                  <c:v>37</c:v>
                </c:pt>
                <c:pt idx="231">
                  <c:v>18</c:v>
                </c:pt>
                <c:pt idx="232">
                  <c:v>24</c:v>
                </c:pt>
                <c:pt idx="233">
                  <c:v>16</c:v>
                </c:pt>
                <c:pt idx="234">
                  <c:v>13</c:v>
                </c:pt>
                <c:pt idx="235">
                  <c:v>52</c:v>
                </c:pt>
                <c:pt idx="236">
                  <c:v>21</c:v>
                </c:pt>
                <c:pt idx="237">
                  <c:v>29</c:v>
                </c:pt>
                <c:pt idx="238">
                  <c:v>21</c:v>
                </c:pt>
                <c:pt idx="239">
                  <c:v>23</c:v>
                </c:pt>
                <c:pt idx="240">
                  <c:v>9</c:v>
                </c:pt>
                <c:pt idx="241">
                  <c:v>8</c:v>
                </c:pt>
                <c:pt idx="242">
                  <c:v>33</c:v>
                </c:pt>
                <c:pt idx="243">
                  <c:v>22</c:v>
                </c:pt>
                <c:pt idx="244">
                  <c:v>22</c:v>
                </c:pt>
                <c:pt idx="245">
                  <c:v>68</c:v>
                </c:pt>
                <c:pt idx="246">
                  <c:v>27</c:v>
                </c:pt>
                <c:pt idx="247">
                  <c:v>59</c:v>
                </c:pt>
                <c:pt idx="248">
                  <c:v>6</c:v>
                </c:pt>
                <c:pt idx="249">
                  <c:v>75</c:v>
                </c:pt>
                <c:pt idx="250">
                  <c:v>66</c:v>
                </c:pt>
                <c:pt idx="251">
                  <c:v>17</c:v>
                </c:pt>
                <c:pt idx="252">
                  <c:v>63</c:v>
                </c:pt>
                <c:pt idx="253">
                  <c:v>18</c:v>
                </c:pt>
                <c:pt idx="254">
                  <c:v>16</c:v>
                </c:pt>
                <c:pt idx="255">
                  <c:v>53</c:v>
                </c:pt>
                <c:pt idx="256">
                  <c:v>20</c:v>
                </c:pt>
                <c:pt idx="257">
                  <c:v>23</c:v>
                </c:pt>
                <c:pt idx="258">
                  <c:v>17</c:v>
                </c:pt>
                <c:pt idx="259">
                  <c:v>26</c:v>
                </c:pt>
                <c:pt idx="260">
                  <c:v>52</c:v>
                </c:pt>
                <c:pt idx="261">
                  <c:v>24</c:v>
                </c:pt>
                <c:pt idx="262">
                  <c:v>22</c:v>
                </c:pt>
                <c:pt idx="263">
                  <c:v>33</c:v>
                </c:pt>
                <c:pt idx="264">
                  <c:v>27</c:v>
                </c:pt>
                <c:pt idx="265">
                  <c:v>18</c:v>
                </c:pt>
                <c:pt idx="266">
                  <c:v>25</c:v>
                </c:pt>
                <c:pt idx="267">
                  <c:v>27</c:v>
                </c:pt>
                <c:pt idx="268">
                  <c:v>27</c:v>
                </c:pt>
                <c:pt idx="269">
                  <c:v>10</c:v>
                </c:pt>
                <c:pt idx="270">
                  <c:v>13</c:v>
                </c:pt>
                <c:pt idx="271">
                  <c:v>18</c:v>
                </c:pt>
                <c:pt idx="272">
                  <c:v>18</c:v>
                </c:pt>
                <c:pt idx="273">
                  <c:v>21</c:v>
                </c:pt>
                <c:pt idx="274">
                  <c:v>17</c:v>
                </c:pt>
                <c:pt idx="275">
                  <c:v>39</c:v>
                </c:pt>
                <c:pt idx="276">
                  <c:v>20</c:v>
                </c:pt>
                <c:pt idx="277">
                  <c:v>9</c:v>
                </c:pt>
                <c:pt idx="278">
                  <c:v>53</c:v>
                </c:pt>
                <c:pt idx="279">
                  <c:v>65</c:v>
                </c:pt>
                <c:pt idx="280">
                  <c:v>19</c:v>
                </c:pt>
                <c:pt idx="281">
                  <c:v>34</c:v>
                </c:pt>
                <c:pt idx="282">
                  <c:v>19</c:v>
                </c:pt>
                <c:pt idx="283">
                  <c:v>21</c:v>
                </c:pt>
                <c:pt idx="284">
                  <c:v>20</c:v>
                </c:pt>
                <c:pt idx="285">
                  <c:v>62</c:v>
                </c:pt>
                <c:pt idx="286">
                  <c:v>35</c:v>
                </c:pt>
                <c:pt idx="287">
                  <c:v>19</c:v>
                </c:pt>
                <c:pt idx="288">
                  <c:v>7</c:v>
                </c:pt>
                <c:pt idx="289">
                  <c:v>15</c:v>
                </c:pt>
                <c:pt idx="290">
                  <c:v>21</c:v>
                </c:pt>
                <c:pt idx="291">
                  <c:v>20</c:v>
                </c:pt>
                <c:pt idx="292">
                  <c:v>10</c:v>
                </c:pt>
                <c:pt idx="293">
                  <c:v>72</c:v>
                </c:pt>
                <c:pt idx="294">
                  <c:v>14</c:v>
                </c:pt>
                <c:pt idx="295">
                  <c:v>19</c:v>
                </c:pt>
                <c:pt idx="296">
                  <c:v>13</c:v>
                </c:pt>
                <c:pt idx="297">
                  <c:v>36</c:v>
                </c:pt>
                <c:pt idx="298">
                  <c:v>66</c:v>
                </c:pt>
                <c:pt idx="299">
                  <c:v>88</c:v>
                </c:pt>
                <c:pt idx="300">
                  <c:v>18</c:v>
                </c:pt>
                <c:pt idx="301">
                  <c:v>79</c:v>
                </c:pt>
                <c:pt idx="302">
                  <c:v>14</c:v>
                </c:pt>
                <c:pt idx="303">
                  <c:v>14</c:v>
                </c:pt>
                <c:pt idx="304">
                  <c:v>90</c:v>
                </c:pt>
                <c:pt idx="305">
                  <c:v>21</c:v>
                </c:pt>
                <c:pt idx="306">
                  <c:v>21</c:v>
                </c:pt>
                <c:pt idx="307">
                  <c:v>32</c:v>
                </c:pt>
                <c:pt idx="308">
                  <c:v>16</c:v>
                </c:pt>
                <c:pt idx="309">
                  <c:v>39</c:v>
                </c:pt>
                <c:pt idx="310">
                  <c:v>51</c:v>
                </c:pt>
                <c:pt idx="311">
                  <c:v>30</c:v>
                </c:pt>
                <c:pt idx="312">
                  <c:v>66</c:v>
                </c:pt>
                <c:pt idx="313">
                  <c:v>35</c:v>
                </c:pt>
                <c:pt idx="314">
                  <c:v>32</c:v>
                </c:pt>
                <c:pt idx="315">
                  <c:v>19</c:v>
                </c:pt>
                <c:pt idx="316">
                  <c:v>0</c:v>
                </c:pt>
                <c:pt idx="317">
                  <c:v>31</c:v>
                </c:pt>
                <c:pt idx="318">
                  <c:v>19</c:v>
                </c:pt>
                <c:pt idx="319">
                  <c:v>8</c:v>
                </c:pt>
                <c:pt idx="320">
                  <c:v>11</c:v>
                </c:pt>
                <c:pt idx="321">
                  <c:v>37</c:v>
                </c:pt>
                <c:pt idx="322">
                  <c:v>23</c:v>
                </c:pt>
                <c:pt idx="323">
                  <c:v>20</c:v>
                </c:pt>
                <c:pt idx="324">
                  <c:v>24</c:v>
                </c:pt>
                <c:pt idx="325">
                  <c:v>26</c:v>
                </c:pt>
                <c:pt idx="326">
                  <c:v>18</c:v>
                </c:pt>
                <c:pt idx="327">
                  <c:v>22</c:v>
                </c:pt>
                <c:pt idx="328">
                  <c:v>29</c:v>
                </c:pt>
                <c:pt idx="329">
                  <c:v>33</c:v>
                </c:pt>
                <c:pt idx="330">
                  <c:v>62</c:v>
                </c:pt>
                <c:pt idx="331">
                  <c:v>80</c:v>
                </c:pt>
                <c:pt idx="332">
                  <c:v>29</c:v>
                </c:pt>
                <c:pt idx="333">
                  <c:v>73</c:v>
                </c:pt>
                <c:pt idx="334">
                  <c:v>13</c:v>
                </c:pt>
                <c:pt idx="335">
                  <c:v>32</c:v>
                </c:pt>
                <c:pt idx="336">
                  <c:v>62</c:v>
                </c:pt>
                <c:pt idx="337">
                  <c:v>18</c:v>
                </c:pt>
                <c:pt idx="338">
                  <c:v>14</c:v>
                </c:pt>
                <c:pt idx="339">
                  <c:v>12</c:v>
                </c:pt>
                <c:pt idx="340">
                  <c:v>15</c:v>
                </c:pt>
                <c:pt idx="341">
                  <c:v>23</c:v>
                </c:pt>
                <c:pt idx="342">
                  <c:v>14</c:v>
                </c:pt>
                <c:pt idx="343">
                  <c:v>33</c:v>
                </c:pt>
                <c:pt idx="344">
                  <c:v>41</c:v>
                </c:pt>
                <c:pt idx="345">
                  <c:v>32</c:v>
                </c:pt>
                <c:pt idx="346">
                  <c:v>11</c:v>
                </c:pt>
                <c:pt idx="347">
                  <c:v>30</c:v>
                </c:pt>
                <c:pt idx="348">
                  <c:v>39</c:v>
                </c:pt>
                <c:pt idx="349">
                  <c:v>16</c:v>
                </c:pt>
                <c:pt idx="350">
                  <c:v>21</c:v>
                </c:pt>
                <c:pt idx="351">
                  <c:v>71</c:v>
                </c:pt>
                <c:pt idx="352">
                  <c:v>8</c:v>
                </c:pt>
                <c:pt idx="353">
                  <c:v>31</c:v>
                </c:pt>
                <c:pt idx="354">
                  <c:v>72</c:v>
                </c:pt>
                <c:pt idx="355">
                  <c:v>62</c:v>
                </c:pt>
                <c:pt idx="356">
                  <c:v>63</c:v>
                </c:pt>
                <c:pt idx="357">
                  <c:v>20</c:v>
                </c:pt>
                <c:pt idx="358">
                  <c:v>9</c:v>
                </c:pt>
                <c:pt idx="359">
                  <c:v>19</c:v>
                </c:pt>
                <c:pt idx="360">
                  <c:v>27</c:v>
                </c:pt>
                <c:pt idx="361">
                  <c:v>13</c:v>
                </c:pt>
                <c:pt idx="362">
                  <c:v>16</c:v>
                </c:pt>
                <c:pt idx="363">
                  <c:v>29</c:v>
                </c:pt>
                <c:pt idx="364">
                  <c:v>29</c:v>
                </c:pt>
                <c:pt idx="365">
                  <c:v>12</c:v>
                </c:pt>
                <c:pt idx="366">
                  <c:v>7</c:v>
                </c:pt>
                <c:pt idx="367">
                  <c:v>20</c:v>
                </c:pt>
                <c:pt idx="368">
                  <c:v>9</c:v>
                </c:pt>
                <c:pt idx="369">
                  <c:v>32</c:v>
                </c:pt>
                <c:pt idx="370">
                  <c:v>11</c:v>
                </c:pt>
                <c:pt idx="371">
                  <c:v>73</c:v>
                </c:pt>
                <c:pt idx="372">
                  <c:v>4</c:v>
                </c:pt>
                <c:pt idx="373">
                  <c:v>25</c:v>
                </c:pt>
                <c:pt idx="374">
                  <c:v>23</c:v>
                </c:pt>
                <c:pt idx="375">
                  <c:v>22</c:v>
                </c:pt>
                <c:pt idx="376">
                  <c:v>31</c:v>
                </c:pt>
                <c:pt idx="377">
                  <c:v>18</c:v>
                </c:pt>
                <c:pt idx="378">
                  <c:v>11</c:v>
                </c:pt>
                <c:pt idx="379">
                  <c:v>30</c:v>
                </c:pt>
                <c:pt idx="380">
                  <c:v>25</c:v>
                </c:pt>
                <c:pt idx="381">
                  <c:v>40</c:v>
                </c:pt>
                <c:pt idx="382">
                  <c:v>29</c:v>
                </c:pt>
                <c:pt idx="383">
                  <c:v>38</c:v>
                </c:pt>
                <c:pt idx="384">
                  <c:v>9</c:v>
                </c:pt>
                <c:pt idx="385">
                  <c:v>14</c:v>
                </c:pt>
                <c:pt idx="386">
                  <c:v>30</c:v>
                </c:pt>
                <c:pt idx="387">
                  <c:v>51</c:v>
                </c:pt>
                <c:pt idx="388">
                  <c:v>17</c:v>
                </c:pt>
                <c:pt idx="389">
                  <c:v>41</c:v>
                </c:pt>
                <c:pt idx="390">
                  <c:v>23</c:v>
                </c:pt>
                <c:pt idx="391">
                  <c:v>75</c:v>
                </c:pt>
                <c:pt idx="392">
                  <c:v>69</c:v>
                </c:pt>
                <c:pt idx="393">
                  <c:v>18</c:v>
                </c:pt>
                <c:pt idx="394">
                  <c:v>38</c:v>
                </c:pt>
                <c:pt idx="395">
                  <c:v>54</c:v>
                </c:pt>
                <c:pt idx="396">
                  <c:v>13</c:v>
                </c:pt>
                <c:pt idx="397">
                  <c:v>13</c:v>
                </c:pt>
                <c:pt idx="398">
                  <c:v>30</c:v>
                </c:pt>
                <c:pt idx="399">
                  <c:v>86</c:v>
                </c:pt>
              </c:numCache>
            </c:numRef>
          </c:xVal>
          <c:yVal>
            <c:numRef>
              <c:f>Part2_CalDDS!$E$479:$E$1000</c:f>
              <c:numCache>
                <c:formatCode>_("$"* #,##0_);_("$"* \(#,##0\);_("$"* "-"??_);_(@_)</c:formatCode>
                <c:ptCount val="400"/>
                <c:pt idx="0">
                  <c:v>2113</c:v>
                </c:pt>
                <c:pt idx="1">
                  <c:v>41924</c:v>
                </c:pt>
                <c:pt idx="2">
                  <c:v>4412</c:v>
                </c:pt>
                <c:pt idx="3">
                  <c:v>3915</c:v>
                </c:pt>
                <c:pt idx="4">
                  <c:v>5021</c:v>
                </c:pt>
                <c:pt idx="5">
                  <c:v>4154</c:v>
                </c:pt>
                <c:pt idx="6">
                  <c:v>2757</c:v>
                </c:pt>
                <c:pt idx="7">
                  <c:v>43025</c:v>
                </c:pt>
                <c:pt idx="8">
                  <c:v>57928</c:v>
                </c:pt>
                <c:pt idx="9">
                  <c:v>4002</c:v>
                </c:pt>
                <c:pt idx="10">
                  <c:v>56134</c:v>
                </c:pt>
                <c:pt idx="11">
                  <c:v>1070</c:v>
                </c:pt>
                <c:pt idx="12">
                  <c:v>35284</c:v>
                </c:pt>
                <c:pt idx="13">
                  <c:v>7219</c:v>
                </c:pt>
                <c:pt idx="14">
                  <c:v>4681</c:v>
                </c:pt>
                <c:pt idx="15">
                  <c:v>2750</c:v>
                </c:pt>
                <c:pt idx="16">
                  <c:v>46660</c:v>
                </c:pt>
                <c:pt idx="17">
                  <c:v>40781</c:v>
                </c:pt>
                <c:pt idx="18">
                  <c:v>36428</c:v>
                </c:pt>
                <c:pt idx="19">
                  <c:v>4046</c:v>
                </c:pt>
                <c:pt idx="20">
                  <c:v>36184</c:v>
                </c:pt>
                <c:pt idx="21">
                  <c:v>36901</c:v>
                </c:pt>
                <c:pt idx="22">
                  <c:v>50419</c:v>
                </c:pt>
                <c:pt idx="23">
                  <c:v>340</c:v>
                </c:pt>
                <c:pt idx="24">
                  <c:v>49239</c:v>
                </c:pt>
                <c:pt idx="25">
                  <c:v>36057</c:v>
                </c:pt>
                <c:pt idx="26">
                  <c:v>31512</c:v>
                </c:pt>
                <c:pt idx="27">
                  <c:v>54267</c:v>
                </c:pt>
                <c:pt idx="28">
                  <c:v>2029</c:v>
                </c:pt>
                <c:pt idx="29">
                  <c:v>37727</c:v>
                </c:pt>
                <c:pt idx="30">
                  <c:v>45412</c:v>
                </c:pt>
                <c:pt idx="31">
                  <c:v>13677</c:v>
                </c:pt>
                <c:pt idx="32">
                  <c:v>38236</c:v>
                </c:pt>
                <c:pt idx="33">
                  <c:v>6798</c:v>
                </c:pt>
                <c:pt idx="34">
                  <c:v>4052</c:v>
                </c:pt>
                <c:pt idx="35">
                  <c:v>49424</c:v>
                </c:pt>
                <c:pt idx="36">
                  <c:v>2924</c:v>
                </c:pt>
                <c:pt idx="37">
                  <c:v>31027</c:v>
                </c:pt>
                <c:pt idx="38">
                  <c:v>27364</c:v>
                </c:pt>
                <c:pt idx="39">
                  <c:v>30998</c:v>
                </c:pt>
                <c:pt idx="40">
                  <c:v>1057</c:v>
                </c:pt>
                <c:pt idx="41">
                  <c:v>42623</c:v>
                </c:pt>
                <c:pt idx="42">
                  <c:v>2521</c:v>
                </c:pt>
                <c:pt idx="43">
                  <c:v>42139</c:v>
                </c:pt>
                <c:pt idx="44">
                  <c:v>57702</c:v>
                </c:pt>
                <c:pt idx="45">
                  <c:v>36607</c:v>
                </c:pt>
                <c:pt idx="46">
                  <c:v>29144</c:v>
                </c:pt>
                <c:pt idx="47">
                  <c:v>7193</c:v>
                </c:pt>
                <c:pt idx="48">
                  <c:v>54309</c:v>
                </c:pt>
                <c:pt idx="49">
                  <c:v>987</c:v>
                </c:pt>
                <c:pt idx="50">
                  <c:v>41107</c:v>
                </c:pt>
                <c:pt idx="51">
                  <c:v>904</c:v>
                </c:pt>
                <c:pt idx="52">
                  <c:v>56752</c:v>
                </c:pt>
                <c:pt idx="53">
                  <c:v>10716</c:v>
                </c:pt>
                <c:pt idx="54">
                  <c:v>34558</c:v>
                </c:pt>
                <c:pt idx="55">
                  <c:v>1997</c:v>
                </c:pt>
                <c:pt idx="56">
                  <c:v>12306</c:v>
                </c:pt>
                <c:pt idx="57">
                  <c:v>37416</c:v>
                </c:pt>
                <c:pt idx="58">
                  <c:v>42702</c:v>
                </c:pt>
                <c:pt idx="59">
                  <c:v>42455</c:v>
                </c:pt>
                <c:pt idx="60">
                  <c:v>43292</c:v>
                </c:pt>
                <c:pt idx="61">
                  <c:v>1631</c:v>
                </c:pt>
                <c:pt idx="62">
                  <c:v>1644</c:v>
                </c:pt>
                <c:pt idx="63">
                  <c:v>8999</c:v>
                </c:pt>
                <c:pt idx="64">
                  <c:v>27417</c:v>
                </c:pt>
                <c:pt idx="65">
                  <c:v>9078</c:v>
                </c:pt>
                <c:pt idx="66">
                  <c:v>2553</c:v>
                </c:pt>
                <c:pt idx="67">
                  <c:v>1068</c:v>
                </c:pt>
                <c:pt idx="68">
                  <c:v>4818</c:v>
                </c:pt>
                <c:pt idx="69">
                  <c:v>650</c:v>
                </c:pt>
                <c:pt idx="70">
                  <c:v>15179</c:v>
                </c:pt>
                <c:pt idx="71">
                  <c:v>47242</c:v>
                </c:pt>
                <c:pt idx="72">
                  <c:v>58922</c:v>
                </c:pt>
                <c:pt idx="73">
                  <c:v>10008</c:v>
                </c:pt>
                <c:pt idx="74">
                  <c:v>42346</c:v>
                </c:pt>
                <c:pt idx="75">
                  <c:v>42840</c:v>
                </c:pt>
                <c:pt idx="76">
                  <c:v>40992</c:v>
                </c:pt>
                <c:pt idx="77">
                  <c:v>37916</c:v>
                </c:pt>
                <c:pt idx="78">
                  <c:v>1339</c:v>
                </c:pt>
                <c:pt idx="79">
                  <c:v>54266</c:v>
                </c:pt>
                <c:pt idx="80">
                  <c:v>47204</c:v>
                </c:pt>
                <c:pt idx="81">
                  <c:v>4556</c:v>
                </c:pt>
                <c:pt idx="82">
                  <c:v>49142</c:v>
                </c:pt>
                <c:pt idx="83">
                  <c:v>2431</c:v>
                </c:pt>
                <c:pt idx="84">
                  <c:v>1024</c:v>
                </c:pt>
                <c:pt idx="85">
                  <c:v>49749</c:v>
                </c:pt>
                <c:pt idx="86">
                  <c:v>3374</c:v>
                </c:pt>
                <c:pt idx="87">
                  <c:v>12854</c:v>
                </c:pt>
                <c:pt idx="88">
                  <c:v>46703</c:v>
                </c:pt>
                <c:pt idx="89">
                  <c:v>2807</c:v>
                </c:pt>
                <c:pt idx="90">
                  <c:v>46246</c:v>
                </c:pt>
                <c:pt idx="91">
                  <c:v>48215</c:v>
                </c:pt>
                <c:pt idx="92">
                  <c:v>2357</c:v>
                </c:pt>
                <c:pt idx="93">
                  <c:v>9597</c:v>
                </c:pt>
                <c:pt idx="94">
                  <c:v>722</c:v>
                </c:pt>
                <c:pt idx="95">
                  <c:v>791</c:v>
                </c:pt>
                <c:pt idx="96">
                  <c:v>2189</c:v>
                </c:pt>
                <c:pt idx="97">
                  <c:v>52472</c:v>
                </c:pt>
                <c:pt idx="98">
                  <c:v>54655</c:v>
                </c:pt>
                <c:pt idx="99">
                  <c:v>3335</c:v>
                </c:pt>
                <c:pt idx="100">
                  <c:v>2380</c:v>
                </c:pt>
                <c:pt idx="101">
                  <c:v>1455</c:v>
                </c:pt>
                <c:pt idx="102">
                  <c:v>38730</c:v>
                </c:pt>
                <c:pt idx="103">
                  <c:v>12178</c:v>
                </c:pt>
                <c:pt idx="104">
                  <c:v>11775</c:v>
                </c:pt>
                <c:pt idx="105">
                  <c:v>36279</c:v>
                </c:pt>
                <c:pt idx="106">
                  <c:v>47021</c:v>
                </c:pt>
                <c:pt idx="107">
                  <c:v>6362</c:v>
                </c:pt>
                <c:pt idx="108">
                  <c:v>1582</c:v>
                </c:pt>
                <c:pt idx="109">
                  <c:v>1347</c:v>
                </c:pt>
                <c:pt idx="110">
                  <c:v>13593</c:v>
                </c:pt>
                <c:pt idx="111">
                  <c:v>2880</c:v>
                </c:pt>
                <c:pt idx="112">
                  <c:v>4003</c:v>
                </c:pt>
                <c:pt idx="113">
                  <c:v>67884</c:v>
                </c:pt>
                <c:pt idx="114">
                  <c:v>46590</c:v>
                </c:pt>
                <c:pt idx="115">
                  <c:v>39007</c:v>
                </c:pt>
                <c:pt idx="116">
                  <c:v>10046</c:v>
                </c:pt>
                <c:pt idx="117">
                  <c:v>64898</c:v>
                </c:pt>
                <c:pt idx="118">
                  <c:v>34394</c:v>
                </c:pt>
                <c:pt idx="119">
                  <c:v>43134</c:v>
                </c:pt>
                <c:pt idx="120">
                  <c:v>14578</c:v>
                </c:pt>
                <c:pt idx="121">
                  <c:v>9207</c:v>
                </c:pt>
                <c:pt idx="122">
                  <c:v>384</c:v>
                </c:pt>
                <c:pt idx="123">
                  <c:v>7083</c:v>
                </c:pt>
                <c:pt idx="124">
                  <c:v>2877</c:v>
                </c:pt>
                <c:pt idx="125">
                  <c:v>3157</c:v>
                </c:pt>
                <c:pt idx="126">
                  <c:v>3694</c:v>
                </c:pt>
                <c:pt idx="127">
                  <c:v>8299</c:v>
                </c:pt>
                <c:pt idx="128">
                  <c:v>12481</c:v>
                </c:pt>
                <c:pt idx="129">
                  <c:v>37948</c:v>
                </c:pt>
                <c:pt idx="130">
                  <c:v>5530</c:v>
                </c:pt>
                <c:pt idx="131">
                  <c:v>39345</c:v>
                </c:pt>
                <c:pt idx="132">
                  <c:v>6272</c:v>
                </c:pt>
                <c:pt idx="133">
                  <c:v>685</c:v>
                </c:pt>
                <c:pt idx="134">
                  <c:v>44734</c:v>
                </c:pt>
                <c:pt idx="135">
                  <c:v>52833</c:v>
                </c:pt>
                <c:pt idx="136">
                  <c:v>1088</c:v>
                </c:pt>
                <c:pt idx="137">
                  <c:v>36469</c:v>
                </c:pt>
                <c:pt idx="138">
                  <c:v>2269</c:v>
                </c:pt>
                <c:pt idx="139">
                  <c:v>10973</c:v>
                </c:pt>
                <c:pt idx="140">
                  <c:v>2366</c:v>
                </c:pt>
                <c:pt idx="141">
                  <c:v>45017</c:v>
                </c:pt>
                <c:pt idx="142">
                  <c:v>1645</c:v>
                </c:pt>
                <c:pt idx="143">
                  <c:v>3977</c:v>
                </c:pt>
                <c:pt idx="144">
                  <c:v>4215</c:v>
                </c:pt>
                <c:pt idx="145">
                  <c:v>52041</c:v>
                </c:pt>
                <c:pt idx="146">
                  <c:v>60452</c:v>
                </c:pt>
                <c:pt idx="147">
                  <c:v>57760</c:v>
                </c:pt>
                <c:pt idx="148">
                  <c:v>10063</c:v>
                </c:pt>
                <c:pt idx="149">
                  <c:v>46325</c:v>
                </c:pt>
                <c:pt idx="150">
                  <c:v>48363</c:v>
                </c:pt>
                <c:pt idx="151">
                  <c:v>3740</c:v>
                </c:pt>
                <c:pt idx="152">
                  <c:v>2854</c:v>
                </c:pt>
                <c:pt idx="153">
                  <c:v>4036</c:v>
                </c:pt>
                <c:pt idx="154">
                  <c:v>3677</c:v>
                </c:pt>
                <c:pt idx="155">
                  <c:v>48745</c:v>
                </c:pt>
                <c:pt idx="156">
                  <c:v>1109</c:v>
                </c:pt>
                <c:pt idx="157">
                  <c:v>40637</c:v>
                </c:pt>
                <c:pt idx="158">
                  <c:v>41464</c:v>
                </c:pt>
                <c:pt idx="159">
                  <c:v>42897</c:v>
                </c:pt>
                <c:pt idx="160">
                  <c:v>59829</c:v>
                </c:pt>
                <c:pt idx="161">
                  <c:v>4363</c:v>
                </c:pt>
                <c:pt idx="162">
                  <c:v>1332</c:v>
                </c:pt>
                <c:pt idx="163">
                  <c:v>1217</c:v>
                </c:pt>
                <c:pt idx="164">
                  <c:v>58304</c:v>
                </c:pt>
                <c:pt idx="165">
                  <c:v>1113</c:v>
                </c:pt>
                <c:pt idx="166">
                  <c:v>47997</c:v>
                </c:pt>
                <c:pt idx="167">
                  <c:v>10502</c:v>
                </c:pt>
                <c:pt idx="168">
                  <c:v>5872</c:v>
                </c:pt>
                <c:pt idx="169">
                  <c:v>27090</c:v>
                </c:pt>
                <c:pt idx="170">
                  <c:v>2415</c:v>
                </c:pt>
                <c:pt idx="171">
                  <c:v>32529</c:v>
                </c:pt>
                <c:pt idx="172">
                  <c:v>3738</c:v>
                </c:pt>
                <c:pt idx="173">
                  <c:v>27058</c:v>
                </c:pt>
                <c:pt idx="174">
                  <c:v>57119</c:v>
                </c:pt>
                <c:pt idx="175">
                  <c:v>4550</c:v>
                </c:pt>
                <c:pt idx="176">
                  <c:v>4245</c:v>
                </c:pt>
                <c:pt idx="177">
                  <c:v>676</c:v>
                </c:pt>
                <c:pt idx="178">
                  <c:v>44916</c:v>
                </c:pt>
                <c:pt idx="179">
                  <c:v>41752</c:v>
                </c:pt>
                <c:pt idx="180">
                  <c:v>3555</c:v>
                </c:pt>
                <c:pt idx="181">
                  <c:v>3015</c:v>
                </c:pt>
                <c:pt idx="182">
                  <c:v>11723</c:v>
                </c:pt>
                <c:pt idx="183">
                  <c:v>633</c:v>
                </c:pt>
                <c:pt idx="184">
                  <c:v>3417</c:v>
                </c:pt>
                <c:pt idx="185">
                  <c:v>43333</c:v>
                </c:pt>
                <c:pt idx="186">
                  <c:v>2054</c:v>
                </c:pt>
                <c:pt idx="187">
                  <c:v>42969</c:v>
                </c:pt>
                <c:pt idx="188">
                  <c:v>48694</c:v>
                </c:pt>
                <c:pt idx="189">
                  <c:v>42703</c:v>
                </c:pt>
                <c:pt idx="190">
                  <c:v>35523</c:v>
                </c:pt>
                <c:pt idx="191">
                  <c:v>49554</c:v>
                </c:pt>
                <c:pt idx="192">
                  <c:v>2455</c:v>
                </c:pt>
                <c:pt idx="193">
                  <c:v>46719</c:v>
                </c:pt>
                <c:pt idx="194">
                  <c:v>46437</c:v>
                </c:pt>
                <c:pt idx="195">
                  <c:v>5514</c:v>
                </c:pt>
                <c:pt idx="196">
                  <c:v>42265</c:v>
                </c:pt>
                <c:pt idx="197">
                  <c:v>13248</c:v>
                </c:pt>
                <c:pt idx="198">
                  <c:v>1262</c:v>
                </c:pt>
                <c:pt idx="199">
                  <c:v>2948</c:v>
                </c:pt>
                <c:pt idx="200">
                  <c:v>4005</c:v>
                </c:pt>
                <c:pt idx="201">
                  <c:v>37133</c:v>
                </c:pt>
                <c:pt idx="202">
                  <c:v>3055</c:v>
                </c:pt>
                <c:pt idx="203">
                  <c:v>40587</c:v>
                </c:pt>
                <c:pt idx="204">
                  <c:v>7488</c:v>
                </c:pt>
                <c:pt idx="205">
                  <c:v>9540</c:v>
                </c:pt>
                <c:pt idx="206">
                  <c:v>37347</c:v>
                </c:pt>
                <c:pt idx="207">
                  <c:v>15278</c:v>
                </c:pt>
                <c:pt idx="208">
                  <c:v>11070</c:v>
                </c:pt>
                <c:pt idx="209">
                  <c:v>9805</c:v>
                </c:pt>
                <c:pt idx="210">
                  <c:v>53834</c:v>
                </c:pt>
                <c:pt idx="211">
                  <c:v>11202</c:v>
                </c:pt>
                <c:pt idx="212">
                  <c:v>60774</c:v>
                </c:pt>
                <c:pt idx="213">
                  <c:v>36180</c:v>
                </c:pt>
                <c:pt idx="214">
                  <c:v>12882</c:v>
                </c:pt>
                <c:pt idx="215">
                  <c:v>4768</c:v>
                </c:pt>
                <c:pt idx="216">
                  <c:v>57821</c:v>
                </c:pt>
                <c:pt idx="217">
                  <c:v>3904</c:v>
                </c:pt>
                <c:pt idx="218">
                  <c:v>2590</c:v>
                </c:pt>
                <c:pt idx="219">
                  <c:v>40156</c:v>
                </c:pt>
                <c:pt idx="220">
                  <c:v>58803</c:v>
                </c:pt>
                <c:pt idx="221">
                  <c:v>16133</c:v>
                </c:pt>
                <c:pt idx="222">
                  <c:v>45507</c:v>
                </c:pt>
                <c:pt idx="223">
                  <c:v>3544</c:v>
                </c:pt>
                <c:pt idx="224">
                  <c:v>11816</c:v>
                </c:pt>
                <c:pt idx="225">
                  <c:v>4531</c:v>
                </c:pt>
                <c:pt idx="226">
                  <c:v>36607</c:v>
                </c:pt>
                <c:pt idx="227">
                  <c:v>2019</c:v>
                </c:pt>
                <c:pt idx="228">
                  <c:v>5224</c:v>
                </c:pt>
                <c:pt idx="229">
                  <c:v>59682</c:v>
                </c:pt>
                <c:pt idx="230">
                  <c:v>30627</c:v>
                </c:pt>
                <c:pt idx="231">
                  <c:v>10068</c:v>
                </c:pt>
                <c:pt idx="232">
                  <c:v>47674</c:v>
                </c:pt>
                <c:pt idx="233">
                  <c:v>3839</c:v>
                </c:pt>
                <c:pt idx="234">
                  <c:v>1195</c:v>
                </c:pt>
                <c:pt idx="235">
                  <c:v>48826</c:v>
                </c:pt>
                <c:pt idx="236">
                  <c:v>15718</c:v>
                </c:pt>
                <c:pt idx="237">
                  <c:v>34708</c:v>
                </c:pt>
                <c:pt idx="238">
                  <c:v>6669</c:v>
                </c:pt>
                <c:pt idx="239">
                  <c:v>39693</c:v>
                </c:pt>
                <c:pt idx="240">
                  <c:v>3552</c:v>
                </c:pt>
                <c:pt idx="241">
                  <c:v>2122</c:v>
                </c:pt>
                <c:pt idx="242">
                  <c:v>42458</c:v>
                </c:pt>
                <c:pt idx="243">
                  <c:v>40648</c:v>
                </c:pt>
                <c:pt idx="244">
                  <c:v>31138</c:v>
                </c:pt>
                <c:pt idx="245">
                  <c:v>43945</c:v>
                </c:pt>
                <c:pt idx="246">
                  <c:v>49793</c:v>
                </c:pt>
                <c:pt idx="247">
                  <c:v>33110</c:v>
                </c:pt>
                <c:pt idx="248">
                  <c:v>1722</c:v>
                </c:pt>
                <c:pt idx="249">
                  <c:v>50261</c:v>
                </c:pt>
                <c:pt idx="250">
                  <c:v>50910</c:v>
                </c:pt>
                <c:pt idx="251">
                  <c:v>2722</c:v>
                </c:pt>
                <c:pt idx="252">
                  <c:v>48614</c:v>
                </c:pt>
                <c:pt idx="253">
                  <c:v>6991</c:v>
                </c:pt>
                <c:pt idx="254">
                  <c:v>4017</c:v>
                </c:pt>
                <c:pt idx="255">
                  <c:v>53457</c:v>
                </c:pt>
                <c:pt idx="256">
                  <c:v>6829</c:v>
                </c:pt>
                <c:pt idx="257">
                  <c:v>40394</c:v>
                </c:pt>
                <c:pt idx="258">
                  <c:v>3520</c:v>
                </c:pt>
                <c:pt idx="259">
                  <c:v>44588</c:v>
                </c:pt>
                <c:pt idx="260">
                  <c:v>39536</c:v>
                </c:pt>
                <c:pt idx="261">
                  <c:v>45735</c:v>
                </c:pt>
                <c:pt idx="262">
                  <c:v>44002</c:v>
                </c:pt>
                <c:pt idx="263">
                  <c:v>44765</c:v>
                </c:pt>
                <c:pt idx="264">
                  <c:v>50301</c:v>
                </c:pt>
                <c:pt idx="265">
                  <c:v>10299</c:v>
                </c:pt>
                <c:pt idx="266">
                  <c:v>34425</c:v>
                </c:pt>
                <c:pt idx="267">
                  <c:v>38331</c:v>
                </c:pt>
                <c:pt idx="268">
                  <c:v>50353</c:v>
                </c:pt>
                <c:pt idx="269">
                  <c:v>992</c:v>
                </c:pt>
                <c:pt idx="270">
                  <c:v>3332</c:v>
                </c:pt>
                <c:pt idx="271">
                  <c:v>10969</c:v>
                </c:pt>
                <c:pt idx="272">
                  <c:v>8567</c:v>
                </c:pt>
                <c:pt idx="273">
                  <c:v>12172</c:v>
                </c:pt>
                <c:pt idx="274">
                  <c:v>3052</c:v>
                </c:pt>
                <c:pt idx="275">
                  <c:v>56716</c:v>
                </c:pt>
                <c:pt idx="276">
                  <c:v>11242</c:v>
                </c:pt>
                <c:pt idx="277">
                  <c:v>1690</c:v>
                </c:pt>
                <c:pt idx="278">
                  <c:v>49380</c:v>
                </c:pt>
                <c:pt idx="279">
                  <c:v>54874</c:v>
                </c:pt>
                <c:pt idx="280">
                  <c:v>11032</c:v>
                </c:pt>
                <c:pt idx="281">
                  <c:v>40546</c:v>
                </c:pt>
                <c:pt idx="282">
                  <c:v>11068</c:v>
                </c:pt>
                <c:pt idx="283">
                  <c:v>7166</c:v>
                </c:pt>
                <c:pt idx="284">
                  <c:v>10898</c:v>
                </c:pt>
                <c:pt idx="285">
                  <c:v>50219</c:v>
                </c:pt>
                <c:pt idx="286">
                  <c:v>42329</c:v>
                </c:pt>
                <c:pt idx="287">
                  <c:v>8398</c:v>
                </c:pt>
                <c:pt idx="288">
                  <c:v>1728</c:v>
                </c:pt>
                <c:pt idx="289">
                  <c:v>4616</c:v>
                </c:pt>
                <c:pt idx="290">
                  <c:v>9363</c:v>
                </c:pt>
                <c:pt idx="291">
                  <c:v>10815</c:v>
                </c:pt>
                <c:pt idx="292">
                  <c:v>2368</c:v>
                </c:pt>
                <c:pt idx="293">
                  <c:v>50198</c:v>
                </c:pt>
                <c:pt idx="294">
                  <c:v>2551</c:v>
                </c:pt>
                <c:pt idx="295">
                  <c:v>8804</c:v>
                </c:pt>
                <c:pt idx="296">
                  <c:v>5098</c:v>
                </c:pt>
                <c:pt idx="297">
                  <c:v>38246</c:v>
                </c:pt>
                <c:pt idx="298">
                  <c:v>47006</c:v>
                </c:pt>
                <c:pt idx="299">
                  <c:v>56415</c:v>
                </c:pt>
                <c:pt idx="300">
                  <c:v>11240</c:v>
                </c:pt>
                <c:pt idx="301">
                  <c:v>58469</c:v>
                </c:pt>
                <c:pt idx="302">
                  <c:v>4842</c:v>
                </c:pt>
                <c:pt idx="303">
                  <c:v>2701</c:v>
                </c:pt>
                <c:pt idx="304">
                  <c:v>57845</c:v>
                </c:pt>
                <c:pt idx="305">
                  <c:v>6482</c:v>
                </c:pt>
                <c:pt idx="306">
                  <c:v>12552</c:v>
                </c:pt>
                <c:pt idx="307">
                  <c:v>30791</c:v>
                </c:pt>
                <c:pt idx="308">
                  <c:v>3047</c:v>
                </c:pt>
                <c:pt idx="309">
                  <c:v>33259</c:v>
                </c:pt>
                <c:pt idx="310">
                  <c:v>52105</c:v>
                </c:pt>
                <c:pt idx="311">
                  <c:v>40268</c:v>
                </c:pt>
                <c:pt idx="312">
                  <c:v>42160</c:v>
                </c:pt>
                <c:pt idx="313">
                  <c:v>33070</c:v>
                </c:pt>
                <c:pt idx="314">
                  <c:v>32704</c:v>
                </c:pt>
                <c:pt idx="315">
                  <c:v>5303</c:v>
                </c:pt>
                <c:pt idx="316">
                  <c:v>1704</c:v>
                </c:pt>
                <c:pt idx="317">
                  <c:v>33051</c:v>
                </c:pt>
                <c:pt idx="318">
                  <c:v>15527</c:v>
                </c:pt>
                <c:pt idx="319">
                  <c:v>2459</c:v>
                </c:pt>
                <c:pt idx="320">
                  <c:v>2727</c:v>
                </c:pt>
                <c:pt idx="321">
                  <c:v>41550</c:v>
                </c:pt>
                <c:pt idx="322">
                  <c:v>36521</c:v>
                </c:pt>
                <c:pt idx="323">
                  <c:v>7237</c:v>
                </c:pt>
                <c:pt idx="324">
                  <c:v>42746</c:v>
                </c:pt>
                <c:pt idx="325">
                  <c:v>34915</c:v>
                </c:pt>
                <c:pt idx="326">
                  <c:v>7144</c:v>
                </c:pt>
                <c:pt idx="327">
                  <c:v>37201</c:v>
                </c:pt>
                <c:pt idx="328">
                  <c:v>46356</c:v>
                </c:pt>
                <c:pt idx="329">
                  <c:v>38762</c:v>
                </c:pt>
                <c:pt idx="330">
                  <c:v>47709</c:v>
                </c:pt>
                <c:pt idx="331">
                  <c:v>68890</c:v>
                </c:pt>
                <c:pt idx="332">
                  <c:v>36658</c:v>
                </c:pt>
                <c:pt idx="333">
                  <c:v>51455</c:v>
                </c:pt>
                <c:pt idx="334">
                  <c:v>4473</c:v>
                </c:pt>
                <c:pt idx="335">
                  <c:v>37637</c:v>
                </c:pt>
                <c:pt idx="336">
                  <c:v>44111</c:v>
                </c:pt>
                <c:pt idx="337">
                  <c:v>8985</c:v>
                </c:pt>
                <c:pt idx="338">
                  <c:v>5576</c:v>
                </c:pt>
                <c:pt idx="339">
                  <c:v>1531</c:v>
                </c:pt>
                <c:pt idx="340">
                  <c:v>5254</c:v>
                </c:pt>
                <c:pt idx="341">
                  <c:v>44219</c:v>
                </c:pt>
                <c:pt idx="342">
                  <c:v>3189</c:v>
                </c:pt>
                <c:pt idx="343">
                  <c:v>39010</c:v>
                </c:pt>
                <c:pt idx="344">
                  <c:v>49223</c:v>
                </c:pt>
                <c:pt idx="345">
                  <c:v>33630</c:v>
                </c:pt>
                <c:pt idx="346">
                  <c:v>1984</c:v>
                </c:pt>
                <c:pt idx="347">
                  <c:v>40927</c:v>
                </c:pt>
                <c:pt idx="348">
                  <c:v>31076</c:v>
                </c:pt>
                <c:pt idx="349">
                  <c:v>4915</c:v>
                </c:pt>
                <c:pt idx="350">
                  <c:v>9700</c:v>
                </c:pt>
                <c:pt idx="351">
                  <c:v>56365</c:v>
                </c:pt>
                <c:pt idx="352">
                  <c:v>3572</c:v>
                </c:pt>
                <c:pt idx="353">
                  <c:v>39172</c:v>
                </c:pt>
                <c:pt idx="354">
                  <c:v>43957</c:v>
                </c:pt>
                <c:pt idx="355">
                  <c:v>58480</c:v>
                </c:pt>
                <c:pt idx="356">
                  <c:v>50030</c:v>
                </c:pt>
                <c:pt idx="357">
                  <c:v>7743</c:v>
                </c:pt>
                <c:pt idx="358">
                  <c:v>2753</c:v>
                </c:pt>
                <c:pt idx="359">
                  <c:v>7570</c:v>
                </c:pt>
                <c:pt idx="360">
                  <c:v>35720</c:v>
                </c:pt>
                <c:pt idx="361">
                  <c:v>5546</c:v>
                </c:pt>
                <c:pt idx="362">
                  <c:v>3666</c:v>
                </c:pt>
                <c:pt idx="363">
                  <c:v>40755</c:v>
                </c:pt>
                <c:pt idx="364">
                  <c:v>41268</c:v>
                </c:pt>
                <c:pt idx="365">
                  <c:v>1996</c:v>
                </c:pt>
                <c:pt idx="366">
                  <c:v>2669</c:v>
                </c:pt>
                <c:pt idx="367">
                  <c:v>8359</c:v>
                </c:pt>
                <c:pt idx="368">
                  <c:v>2632</c:v>
                </c:pt>
                <c:pt idx="369">
                  <c:v>43662</c:v>
                </c:pt>
                <c:pt idx="370">
                  <c:v>620</c:v>
                </c:pt>
                <c:pt idx="371">
                  <c:v>49088</c:v>
                </c:pt>
                <c:pt idx="372">
                  <c:v>2543</c:v>
                </c:pt>
                <c:pt idx="373">
                  <c:v>39849</c:v>
                </c:pt>
                <c:pt idx="374">
                  <c:v>48349</c:v>
                </c:pt>
                <c:pt idx="375">
                  <c:v>50795</c:v>
                </c:pt>
                <c:pt idx="376">
                  <c:v>39577</c:v>
                </c:pt>
                <c:pt idx="377">
                  <c:v>10298</c:v>
                </c:pt>
                <c:pt idx="378">
                  <c:v>1360</c:v>
                </c:pt>
                <c:pt idx="379">
                  <c:v>51486</c:v>
                </c:pt>
                <c:pt idx="380">
                  <c:v>40952</c:v>
                </c:pt>
                <c:pt idx="381">
                  <c:v>43175</c:v>
                </c:pt>
                <c:pt idx="382">
                  <c:v>43048</c:v>
                </c:pt>
                <c:pt idx="383">
                  <c:v>29709</c:v>
                </c:pt>
                <c:pt idx="384">
                  <c:v>2544</c:v>
                </c:pt>
                <c:pt idx="385">
                  <c:v>3524</c:v>
                </c:pt>
                <c:pt idx="386">
                  <c:v>40125</c:v>
                </c:pt>
                <c:pt idx="387">
                  <c:v>48622</c:v>
                </c:pt>
                <c:pt idx="388">
                  <c:v>5276</c:v>
                </c:pt>
                <c:pt idx="389">
                  <c:v>50202</c:v>
                </c:pt>
                <c:pt idx="390">
                  <c:v>35016</c:v>
                </c:pt>
                <c:pt idx="391">
                  <c:v>55956</c:v>
                </c:pt>
                <c:pt idx="392">
                  <c:v>53561</c:v>
                </c:pt>
                <c:pt idx="393">
                  <c:v>10393</c:v>
                </c:pt>
                <c:pt idx="394">
                  <c:v>54191</c:v>
                </c:pt>
                <c:pt idx="395">
                  <c:v>46312</c:v>
                </c:pt>
                <c:pt idx="396">
                  <c:v>3097</c:v>
                </c:pt>
                <c:pt idx="397">
                  <c:v>3392</c:v>
                </c:pt>
                <c:pt idx="398">
                  <c:v>35231</c:v>
                </c:pt>
                <c:pt idx="399">
                  <c:v>57055</c:v>
                </c:pt>
              </c:numCache>
            </c:numRef>
          </c:yVal>
          <c:smooth val="0"/>
          <c:extLst>
            <c:ext xmlns:c16="http://schemas.microsoft.com/office/drawing/2014/chart" uri="{C3380CC4-5D6E-409C-BE32-E72D297353CC}">
              <c16:uniqueId val="{00000002-59F1-438E-A784-DB861CAF477C}"/>
            </c:ext>
          </c:extLst>
        </c:ser>
        <c:dLbls>
          <c:showLegendKey val="0"/>
          <c:showVal val="0"/>
          <c:showCatName val="0"/>
          <c:showSerName val="0"/>
          <c:showPercent val="0"/>
          <c:showBubbleSize val="0"/>
        </c:dLbls>
        <c:axId val="1364674752"/>
        <c:axId val="1364676192"/>
      </c:scatterChart>
      <c:valAx>
        <c:axId val="13646747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676192"/>
        <c:crosses val="autoZero"/>
        <c:crossBetween val="midCat"/>
      </c:valAx>
      <c:valAx>
        <c:axId val="1364676192"/>
        <c:scaling>
          <c:orientation val="minMax"/>
          <c:min val="0"/>
        </c:scaling>
        <c:delete val="0"/>
        <c:axPos val="l"/>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6747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Satisfaction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Part3_Crtiques!$B$18</c:f>
              <c:strCache>
                <c:ptCount val="1"/>
                <c:pt idx="0">
                  <c:v>Satisfaction Score (out of 100)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Part3_Crtiques!$A$19:$A$20</c:f>
              <c:strCache>
                <c:ptCount val="2"/>
                <c:pt idx="0">
                  <c:v>Product A</c:v>
                </c:pt>
                <c:pt idx="1">
                  <c:v>Product B</c:v>
                </c:pt>
              </c:strCache>
            </c:strRef>
          </c:cat>
          <c:val>
            <c:numRef>
              <c:f>Part3_Crtiques!$B$19:$B$20</c:f>
              <c:numCache>
                <c:formatCode>General</c:formatCode>
                <c:ptCount val="2"/>
                <c:pt idx="0">
                  <c:v>82</c:v>
                </c:pt>
                <c:pt idx="1">
                  <c:v>86</c:v>
                </c:pt>
              </c:numCache>
            </c:numRef>
          </c:val>
          <c:extLst>
            <c:ext xmlns:c16="http://schemas.microsoft.com/office/drawing/2014/chart" uri="{C3380CC4-5D6E-409C-BE32-E72D297353CC}">
              <c16:uniqueId val="{00000000-7047-814D-B047-B808C859675B}"/>
            </c:ext>
          </c:extLst>
        </c:ser>
        <c:dLbls>
          <c:dLblPos val="outEnd"/>
          <c:showLegendKey val="0"/>
          <c:showVal val="1"/>
          <c:showCatName val="0"/>
          <c:showSerName val="0"/>
          <c:showPercent val="0"/>
          <c:showBubbleSize val="0"/>
        </c:dLbls>
        <c:gapWidth val="219"/>
        <c:overlap val="-27"/>
        <c:axId val="1507870912"/>
        <c:axId val="1507872704"/>
      </c:barChart>
      <c:catAx>
        <c:axId val="150787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872704"/>
        <c:crosses val="autoZero"/>
        <c:auto val="1"/>
        <c:lblAlgn val="ctr"/>
        <c:lblOffset val="100"/>
        <c:noMultiLvlLbl val="0"/>
      </c:catAx>
      <c:valAx>
        <c:axId val="1507872704"/>
        <c:scaling>
          <c:orientation val="minMax"/>
          <c:min val="0"/>
        </c:scaling>
        <c:delete val="0"/>
        <c:axPos val="l"/>
        <c:numFmt formatCode="General" sourceLinked="1"/>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87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11545</xdr:colOff>
      <xdr:row>18</xdr:row>
      <xdr:rowOff>2309</xdr:rowOff>
    </xdr:from>
    <xdr:to>
      <xdr:col>17</xdr:col>
      <xdr:colOff>808182</xdr:colOff>
      <xdr:row>39</xdr:row>
      <xdr:rowOff>11545</xdr:rowOff>
    </xdr:to>
    <xdr:graphicFrame macro="">
      <xdr:nvGraphicFramePr>
        <xdr:cNvPr id="6" name="Chart 5">
          <a:extLst>
            <a:ext uri="{FF2B5EF4-FFF2-40B4-BE49-F238E27FC236}">
              <a16:creationId xmlns:a16="http://schemas.microsoft.com/office/drawing/2014/main" id="{C0CB6DF6-6982-D1E8-9732-46D298B78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0.06811</cdr:y>
    </cdr:from>
    <cdr:to>
      <cdr:x>0.07781</cdr:x>
      <cdr:y>0.12619</cdr:y>
    </cdr:to>
    <cdr:sp macro="" textlink="">
      <cdr:nvSpPr>
        <cdr:cNvPr id="2" name="TextBox 1">
          <a:extLst xmlns:a="http://schemas.openxmlformats.org/drawingml/2006/main">
            <a:ext uri="{FF2B5EF4-FFF2-40B4-BE49-F238E27FC236}">
              <a16:creationId xmlns:a16="http://schemas.microsoft.com/office/drawing/2014/main" id="{A0F1CFC3-7CC4-8281-0515-C41966B0A0CE}"/>
            </a:ext>
          </a:extLst>
        </cdr:cNvPr>
        <cdr:cNvSpPr txBox="1"/>
      </cdr:nvSpPr>
      <cdr:spPr>
        <a:xfrm xmlns:a="http://schemas.openxmlformats.org/drawingml/2006/main">
          <a:off x="0" y="297873"/>
          <a:ext cx="542636"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BMI</a:t>
          </a:r>
        </a:p>
      </cdr:txBody>
    </cdr:sp>
  </cdr:relSizeAnchor>
  <cdr:relSizeAnchor xmlns:cdr="http://schemas.openxmlformats.org/drawingml/2006/chartDrawing">
    <cdr:from>
      <cdr:x>0.93543</cdr:x>
      <cdr:y>0.94192</cdr:y>
    </cdr:from>
    <cdr:to>
      <cdr:x>0.99503</cdr:x>
      <cdr:y>0.99472</cdr:y>
    </cdr:to>
    <cdr:sp macro="" textlink="">
      <cdr:nvSpPr>
        <cdr:cNvPr id="3" name="TextBox 2">
          <a:extLst xmlns:a="http://schemas.openxmlformats.org/drawingml/2006/main">
            <a:ext uri="{FF2B5EF4-FFF2-40B4-BE49-F238E27FC236}">
              <a16:creationId xmlns:a16="http://schemas.microsoft.com/office/drawing/2014/main" id="{38F2741F-406E-B450-77AE-EE482A3CA9AF}"/>
            </a:ext>
          </a:extLst>
        </cdr:cNvPr>
        <cdr:cNvSpPr txBox="1"/>
      </cdr:nvSpPr>
      <cdr:spPr>
        <a:xfrm xmlns:a="http://schemas.openxmlformats.org/drawingml/2006/main">
          <a:off x="6523182" y="4119419"/>
          <a:ext cx="415637" cy="2309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Age</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51557</xdr:colOff>
      <xdr:row>0</xdr:row>
      <xdr:rowOff>184813</xdr:rowOff>
    </xdr:from>
    <xdr:to>
      <xdr:col>14</xdr:col>
      <xdr:colOff>14215</xdr:colOff>
      <xdr:row>30</xdr:row>
      <xdr:rowOff>79707</xdr:rowOff>
    </xdr:to>
    <xdr:graphicFrame macro="">
      <xdr:nvGraphicFramePr>
        <xdr:cNvPr id="2" name="Chart 1">
          <a:extLst>
            <a:ext uri="{FF2B5EF4-FFF2-40B4-BE49-F238E27FC236}">
              <a16:creationId xmlns:a16="http://schemas.microsoft.com/office/drawing/2014/main" id="{68DF291D-1B14-BC74-CD4C-C8C87716F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30</xdr:row>
      <xdr:rowOff>199029</xdr:rowOff>
    </xdr:from>
    <xdr:to>
      <xdr:col>14</xdr:col>
      <xdr:colOff>49757</xdr:colOff>
      <xdr:row>60</xdr:row>
      <xdr:rowOff>78189</xdr:rowOff>
    </xdr:to>
    <xdr:graphicFrame macro="">
      <xdr:nvGraphicFramePr>
        <xdr:cNvPr id="6" name="Chart 5">
          <a:extLst>
            <a:ext uri="{FF2B5EF4-FFF2-40B4-BE49-F238E27FC236}">
              <a16:creationId xmlns:a16="http://schemas.microsoft.com/office/drawing/2014/main" id="{D13FAAEF-59F7-471F-9FE9-AF3ADE708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338667</xdr:colOff>
      <xdr:row>27</xdr:row>
      <xdr:rowOff>169333</xdr:rowOff>
    </xdr:from>
    <xdr:to>
      <xdr:col>13</xdr:col>
      <xdr:colOff>740833</xdr:colOff>
      <xdr:row>29</xdr:row>
      <xdr:rowOff>201082</xdr:rowOff>
    </xdr:to>
    <xdr:sp macro="" textlink="">
      <xdr:nvSpPr>
        <xdr:cNvPr id="3" name="TextBox 2">
          <a:extLst>
            <a:ext uri="{FF2B5EF4-FFF2-40B4-BE49-F238E27FC236}">
              <a16:creationId xmlns:a16="http://schemas.microsoft.com/office/drawing/2014/main" id="{9A8307E5-199C-FF7A-5F3B-ABA6D7EB0666}"/>
            </a:ext>
          </a:extLst>
        </xdr:cNvPr>
        <xdr:cNvSpPr txBox="1"/>
      </xdr:nvSpPr>
      <xdr:spPr>
        <a:xfrm>
          <a:off x="11684000" y="4593166"/>
          <a:ext cx="402166"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Age</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cdr:x>
      <cdr:y>0.07294</cdr:y>
    </cdr:from>
    <cdr:to>
      <cdr:x>0.21183</cdr:x>
      <cdr:y>0.11778</cdr:y>
    </cdr:to>
    <cdr:sp macro="" textlink="">
      <cdr:nvSpPr>
        <cdr:cNvPr id="2" name="TextBox 1">
          <a:extLst xmlns:a="http://schemas.openxmlformats.org/drawingml/2006/main">
            <a:ext uri="{FF2B5EF4-FFF2-40B4-BE49-F238E27FC236}">
              <a16:creationId xmlns:a16="http://schemas.microsoft.com/office/drawing/2014/main" id="{4B78C747-3FCD-37D9-4838-06AAEF56EF8F}"/>
            </a:ext>
          </a:extLst>
        </cdr:cNvPr>
        <cdr:cNvSpPr txBox="1"/>
      </cdr:nvSpPr>
      <cdr:spPr>
        <a:xfrm xmlns:a="http://schemas.openxmlformats.org/drawingml/2006/main">
          <a:off x="0" y="344354"/>
          <a:ext cx="1408942" cy="2116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t>Annual Expenditure</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0.0592</cdr:y>
    </cdr:from>
    <cdr:to>
      <cdr:x>0.34553</cdr:x>
      <cdr:y>0.10384</cdr:y>
    </cdr:to>
    <cdr:sp macro="" textlink="">
      <cdr:nvSpPr>
        <cdr:cNvPr id="2" name="TextBox 1">
          <a:extLst xmlns:a="http://schemas.openxmlformats.org/drawingml/2006/main">
            <a:ext uri="{FF2B5EF4-FFF2-40B4-BE49-F238E27FC236}">
              <a16:creationId xmlns:a16="http://schemas.microsoft.com/office/drawing/2014/main" id="{1D38B724-E447-4797-BC19-F9530A8031CB}"/>
            </a:ext>
          </a:extLst>
        </cdr:cNvPr>
        <cdr:cNvSpPr txBox="1"/>
      </cdr:nvSpPr>
      <cdr:spPr>
        <a:xfrm xmlns:a="http://schemas.openxmlformats.org/drawingml/2006/main">
          <a:off x="0" y="266638"/>
          <a:ext cx="2328333" cy="2010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t>Annual Expenditure</a:t>
          </a:r>
        </a:p>
      </cdr:txBody>
    </cdr:sp>
  </cdr:relSizeAnchor>
  <cdr:relSizeAnchor xmlns:cdr="http://schemas.openxmlformats.org/drawingml/2006/chartDrawing">
    <cdr:from>
      <cdr:x>0.92665</cdr:x>
      <cdr:y>0.8863</cdr:y>
    </cdr:from>
    <cdr:to>
      <cdr:x>0.9989</cdr:x>
      <cdr:y>0.94504</cdr:y>
    </cdr:to>
    <cdr:sp macro="" textlink="">
      <cdr:nvSpPr>
        <cdr:cNvPr id="3" name="TextBox 2">
          <a:extLst xmlns:a="http://schemas.openxmlformats.org/drawingml/2006/main">
            <a:ext uri="{FF2B5EF4-FFF2-40B4-BE49-F238E27FC236}">
              <a16:creationId xmlns:a16="http://schemas.microsoft.com/office/drawing/2014/main" id="{C74A289A-2AB8-04E4-E5F5-F50DCA634BF4}"/>
            </a:ext>
          </a:extLst>
        </cdr:cNvPr>
        <cdr:cNvSpPr txBox="1"/>
      </cdr:nvSpPr>
      <cdr:spPr>
        <a:xfrm xmlns:a="http://schemas.openxmlformats.org/drawingml/2006/main">
          <a:off x="6244167" y="3991972"/>
          <a:ext cx="486833" cy="264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t>Age</a:t>
          </a: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0</xdr:col>
      <xdr:colOff>88900</xdr:colOff>
      <xdr:row>1</xdr:row>
      <xdr:rowOff>152400</xdr:rowOff>
    </xdr:from>
    <xdr:to>
      <xdr:col>5</xdr:col>
      <xdr:colOff>390218</xdr:colOff>
      <xdr:row>16</xdr:row>
      <xdr:rowOff>12700</xdr:rowOff>
    </xdr:to>
    <xdr:pic>
      <xdr:nvPicPr>
        <xdr:cNvPr id="2" name="ChartA_Truncated">
          <a:extLst>
            <a:ext uri="{FF2B5EF4-FFF2-40B4-BE49-F238E27FC236}">
              <a16:creationId xmlns:a16="http://schemas.microsoft.com/office/drawing/2014/main" id="{CAB07C97-76F9-2480-9414-50329BF877B7}"/>
            </a:ext>
          </a:extLst>
        </xdr:cNvPr>
        <xdr:cNvPicPr>
          <a:picLocks noChangeAspect="1"/>
        </xdr:cNvPicPr>
      </xdr:nvPicPr>
      <xdr:blipFill>
        <a:blip xmlns:r="http://schemas.openxmlformats.org/officeDocument/2006/relationships" r:embed="rId1"/>
        <a:stretch>
          <a:fillRect/>
        </a:stretch>
      </xdr:blipFill>
      <xdr:spPr>
        <a:xfrm>
          <a:off x="88900" y="355600"/>
          <a:ext cx="4416118" cy="2908300"/>
        </a:xfrm>
        <a:prstGeom prst="rect">
          <a:avLst/>
        </a:prstGeom>
      </xdr:spPr>
    </xdr:pic>
    <xdr:clientData/>
  </xdr:twoCellAnchor>
  <xdr:twoCellAnchor editAs="oneCell">
    <xdr:from>
      <xdr:col>0</xdr:col>
      <xdr:colOff>0</xdr:colOff>
      <xdr:row>29</xdr:row>
      <xdr:rowOff>0</xdr:rowOff>
    </xdr:from>
    <xdr:to>
      <xdr:col>14</xdr:col>
      <xdr:colOff>788506</xdr:colOff>
      <xdr:row>51</xdr:row>
      <xdr:rowOff>50800</xdr:rowOff>
    </xdr:to>
    <xdr:pic>
      <xdr:nvPicPr>
        <xdr:cNvPr id="4" name="ChartB_COVID">
          <a:extLst>
            <a:ext uri="{FF2B5EF4-FFF2-40B4-BE49-F238E27FC236}">
              <a16:creationId xmlns:a16="http://schemas.microsoft.com/office/drawing/2014/main" id="{CAE35359-1DC3-9A12-3CB6-D5D4F6AC14EE}"/>
            </a:ext>
          </a:extLst>
        </xdr:cNvPr>
        <xdr:cNvPicPr>
          <a:picLocks noChangeAspect="1"/>
        </xdr:cNvPicPr>
      </xdr:nvPicPr>
      <xdr:blipFill>
        <a:blip xmlns:r="http://schemas.openxmlformats.org/officeDocument/2006/relationships" r:embed="rId2"/>
        <a:stretch>
          <a:fillRect/>
        </a:stretch>
      </xdr:blipFill>
      <xdr:spPr>
        <a:xfrm>
          <a:off x="0" y="6413500"/>
          <a:ext cx="12332806" cy="4521200"/>
        </a:xfrm>
        <a:prstGeom prst="rect">
          <a:avLst/>
        </a:prstGeom>
      </xdr:spPr>
    </xdr:pic>
    <xdr:clientData/>
  </xdr:twoCellAnchor>
  <xdr:twoCellAnchor>
    <xdr:from>
      <xdr:col>6</xdr:col>
      <xdr:colOff>203200</xdr:colOff>
      <xdr:row>1</xdr:row>
      <xdr:rowOff>114300</xdr:rowOff>
    </xdr:from>
    <xdr:to>
      <xdr:col>11</xdr:col>
      <xdr:colOff>666750</xdr:colOff>
      <xdr:row>15</xdr:row>
      <xdr:rowOff>165100</xdr:rowOff>
    </xdr:to>
    <xdr:graphicFrame macro="">
      <xdr:nvGraphicFramePr>
        <xdr:cNvPr id="3" name="Chart 2">
          <a:extLst>
            <a:ext uri="{FF2B5EF4-FFF2-40B4-BE49-F238E27FC236}">
              <a16:creationId xmlns:a16="http://schemas.microsoft.com/office/drawing/2014/main" id="{93A3F67A-420E-F8D6-940A-B4CA3129F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71FD75-9531-7E40-ABFC-435A21D90B27}">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ED65-9AEA-8A49-94AF-ADADAE803969}">
  <sheetPr filterMode="1"/>
  <dimension ref="A1:P769"/>
  <sheetViews>
    <sheetView topLeftCell="E1" zoomScale="110" zoomScaleNormal="110" workbookViewId="0">
      <selection activeCell="Q48" sqref="Q48"/>
    </sheetView>
  </sheetViews>
  <sheetFormatPr baseColWidth="10" defaultColWidth="11" defaultRowHeight="16" x14ac:dyDescent="0.2"/>
  <cols>
    <col min="11" max="11" width="12.5" bestFit="1" customWidth="1"/>
    <col min="14" max="15" width="12.1640625" bestFit="1" customWidth="1"/>
  </cols>
  <sheetData>
    <row r="1" spans="1:16" x14ac:dyDescent="0.2">
      <c r="A1" t="s">
        <v>0</v>
      </c>
      <c r="B1" t="s">
        <v>1</v>
      </c>
      <c r="C1" t="s">
        <v>2</v>
      </c>
      <c r="D1" t="s">
        <v>3</v>
      </c>
      <c r="E1" t="s">
        <v>4</v>
      </c>
      <c r="F1" t="s">
        <v>5</v>
      </c>
      <c r="G1" t="s">
        <v>6</v>
      </c>
      <c r="H1" t="s">
        <v>7</v>
      </c>
      <c r="I1" t="s">
        <v>8</v>
      </c>
    </row>
    <row r="2" spans="1:16" x14ac:dyDescent="0.2">
      <c r="A2">
        <v>6</v>
      </c>
      <c r="B2">
        <v>148</v>
      </c>
      <c r="C2">
        <v>72</v>
      </c>
      <c r="D2">
        <v>35</v>
      </c>
      <c r="F2">
        <v>33.6</v>
      </c>
      <c r="G2">
        <v>0.627</v>
      </c>
      <c r="H2">
        <v>50</v>
      </c>
      <c r="I2">
        <v>1</v>
      </c>
      <c r="L2" t="s">
        <v>1</v>
      </c>
      <c r="M2" t="s">
        <v>2</v>
      </c>
      <c r="N2" t="s">
        <v>3</v>
      </c>
      <c r="O2" t="s">
        <v>4</v>
      </c>
      <c r="P2" t="s">
        <v>5</v>
      </c>
    </row>
    <row r="3" spans="1:16" x14ac:dyDescent="0.2">
      <c r="A3">
        <v>1</v>
      </c>
      <c r="B3">
        <v>85</v>
      </c>
      <c r="C3">
        <v>66</v>
      </c>
      <c r="D3">
        <v>29</v>
      </c>
      <c r="F3">
        <v>26.6</v>
      </c>
      <c r="G3">
        <v>0.35099999999999998</v>
      </c>
      <c r="H3">
        <v>31</v>
      </c>
      <c r="I3">
        <v>0</v>
      </c>
      <c r="K3" t="s">
        <v>36</v>
      </c>
      <c r="L3">
        <f>COUNTBLANK(B2:B769)</f>
        <v>5</v>
      </c>
      <c r="M3">
        <f t="shared" ref="M3:O3" si="0">COUNTBLANK(C2:C769)</f>
        <v>35</v>
      </c>
      <c r="N3">
        <f t="shared" si="0"/>
        <v>227</v>
      </c>
      <c r="O3">
        <f t="shared" si="0"/>
        <v>374</v>
      </c>
      <c r="P3">
        <f>COUNTBLANK(F2:F769)</f>
        <v>11</v>
      </c>
    </row>
    <row r="4" spans="1:16" x14ac:dyDescent="0.2">
      <c r="A4">
        <v>8</v>
      </c>
      <c r="B4">
        <v>183</v>
      </c>
      <c r="C4">
        <v>64</v>
      </c>
      <c r="F4">
        <v>23.3</v>
      </c>
      <c r="G4">
        <v>0.67200000000000004</v>
      </c>
      <c r="H4">
        <v>32</v>
      </c>
      <c r="I4">
        <v>1</v>
      </c>
      <c r="K4" t="s">
        <v>37</v>
      </c>
      <c r="L4">
        <f>AVERAGE(B2:B769)</f>
        <v>121.68676277850589</v>
      </c>
      <c r="M4">
        <f t="shared" ref="M4:P4" si="1">AVERAGE(C2:C769)</f>
        <v>72.405184174624836</v>
      </c>
      <c r="N4">
        <f t="shared" si="1"/>
        <v>29.153419593345657</v>
      </c>
      <c r="O4">
        <f t="shared" si="1"/>
        <v>155.54822335025381</v>
      </c>
      <c r="P4">
        <f t="shared" si="1"/>
        <v>32.457463672390993</v>
      </c>
    </row>
    <row r="5" spans="1:16" x14ac:dyDescent="0.2">
      <c r="A5">
        <v>1</v>
      </c>
      <c r="B5">
        <v>89</v>
      </c>
      <c r="C5">
        <v>66</v>
      </c>
      <c r="D5">
        <v>23</v>
      </c>
      <c r="E5">
        <v>94</v>
      </c>
      <c r="F5">
        <v>28.1</v>
      </c>
      <c r="G5">
        <v>0.16700000000000001</v>
      </c>
      <c r="H5">
        <v>21</v>
      </c>
      <c r="I5">
        <v>0</v>
      </c>
      <c r="K5" t="s">
        <v>38</v>
      </c>
      <c r="L5">
        <f>_xlfn.STDEV.S(B2:B769)</f>
        <v>30.535641072804051</v>
      </c>
      <c r="M5">
        <f t="shared" ref="M5:P5" si="2">_xlfn.STDEV.S(C2:C769)</f>
        <v>12.382158210105265</v>
      </c>
      <c r="N5">
        <f t="shared" si="2"/>
        <v>10.47698236998721</v>
      </c>
      <c r="O5">
        <f t="shared" si="2"/>
        <v>118.77585518724517</v>
      </c>
      <c r="P5">
        <f t="shared" si="2"/>
        <v>6.9249883321060501</v>
      </c>
    </row>
    <row r="6" spans="1:16" x14ac:dyDescent="0.2">
      <c r="A6">
        <v>0</v>
      </c>
      <c r="B6">
        <v>137</v>
      </c>
      <c r="C6">
        <v>40</v>
      </c>
      <c r="D6">
        <v>35</v>
      </c>
      <c r="E6">
        <v>168</v>
      </c>
      <c r="F6">
        <v>43.1</v>
      </c>
      <c r="G6">
        <v>2.2879999999999998</v>
      </c>
      <c r="H6">
        <v>33</v>
      </c>
      <c r="I6">
        <v>1</v>
      </c>
      <c r="K6" t="s">
        <v>39</v>
      </c>
      <c r="L6">
        <f>MIN(B2:B769)</f>
        <v>44</v>
      </c>
      <c r="M6">
        <f t="shared" ref="M6:P6" si="3">MIN(C2:C769)</f>
        <v>24</v>
      </c>
      <c r="N6">
        <f t="shared" si="3"/>
        <v>7</v>
      </c>
      <c r="O6">
        <f t="shared" si="3"/>
        <v>14</v>
      </c>
      <c r="P6">
        <f t="shared" si="3"/>
        <v>18.2</v>
      </c>
    </row>
    <row r="7" spans="1:16" x14ac:dyDescent="0.2">
      <c r="A7">
        <v>5</v>
      </c>
      <c r="B7">
        <v>116</v>
      </c>
      <c r="C7">
        <v>74</v>
      </c>
      <c r="F7">
        <v>25.6</v>
      </c>
      <c r="G7">
        <v>0.20100000000000001</v>
      </c>
      <c r="H7">
        <v>30</v>
      </c>
      <c r="I7">
        <v>0</v>
      </c>
      <c r="K7" t="s">
        <v>40</v>
      </c>
      <c r="L7">
        <f>MAX(B2:B769)</f>
        <v>199</v>
      </c>
      <c r="M7">
        <f t="shared" ref="M7:P7" si="4">MAX(C2:C769)</f>
        <v>122</v>
      </c>
      <c r="N7">
        <f t="shared" si="4"/>
        <v>99</v>
      </c>
      <c r="O7">
        <f t="shared" si="4"/>
        <v>846</v>
      </c>
      <c r="P7">
        <f t="shared" si="4"/>
        <v>67.099999999999994</v>
      </c>
    </row>
    <row r="8" spans="1:16" x14ac:dyDescent="0.2">
      <c r="A8">
        <v>3</v>
      </c>
      <c r="B8">
        <v>78</v>
      </c>
      <c r="C8">
        <v>50</v>
      </c>
      <c r="D8">
        <v>32</v>
      </c>
      <c r="E8">
        <v>88</v>
      </c>
      <c r="F8">
        <v>31</v>
      </c>
      <c r="G8">
        <v>0.248</v>
      </c>
      <c r="H8">
        <v>26</v>
      </c>
      <c r="I8">
        <v>1</v>
      </c>
      <c r="L8" s="8"/>
      <c r="M8" s="8"/>
      <c r="N8" s="8"/>
      <c r="O8" s="8">
        <f>O3/768</f>
        <v>0.48697916666666669</v>
      </c>
      <c r="P8" s="8"/>
    </row>
    <row r="9" spans="1:16" x14ac:dyDescent="0.2">
      <c r="A9">
        <v>10</v>
      </c>
      <c r="B9">
        <v>115</v>
      </c>
      <c r="F9">
        <v>35.299999999999997</v>
      </c>
      <c r="G9">
        <v>0.13400000000000001</v>
      </c>
      <c r="H9">
        <v>29</v>
      </c>
      <c r="I9">
        <v>0</v>
      </c>
      <c r="K9" s="9" t="s">
        <v>41</v>
      </c>
    </row>
    <row r="10" spans="1:16" x14ac:dyDescent="0.2">
      <c r="A10">
        <v>2</v>
      </c>
      <c r="B10">
        <v>197</v>
      </c>
      <c r="C10">
        <v>70</v>
      </c>
      <c r="D10">
        <v>45</v>
      </c>
      <c r="E10">
        <v>543</v>
      </c>
      <c r="F10">
        <v>30.5</v>
      </c>
      <c r="G10">
        <v>0.158</v>
      </c>
      <c r="H10">
        <v>53</v>
      </c>
      <c r="I10">
        <v>1</v>
      </c>
      <c r="K10" t="s">
        <v>68</v>
      </c>
    </row>
    <row r="11" spans="1:16" hidden="1" x14ac:dyDescent="0.2">
      <c r="A11">
        <v>8</v>
      </c>
      <c r="B11">
        <v>125</v>
      </c>
      <c r="C11">
        <v>96</v>
      </c>
      <c r="G11">
        <v>0.23200000000000001</v>
      </c>
      <c r="H11">
        <v>54</v>
      </c>
      <c r="I11">
        <v>1</v>
      </c>
    </row>
    <row r="12" spans="1:16" x14ac:dyDescent="0.2">
      <c r="A12">
        <v>4</v>
      </c>
      <c r="B12">
        <v>110</v>
      </c>
      <c r="C12">
        <v>92</v>
      </c>
      <c r="F12">
        <v>37.6</v>
      </c>
      <c r="G12">
        <v>0.191</v>
      </c>
      <c r="H12">
        <v>30</v>
      </c>
      <c r="I12">
        <v>0</v>
      </c>
      <c r="K12" s="9" t="s">
        <v>42</v>
      </c>
    </row>
    <row r="13" spans="1:16" x14ac:dyDescent="0.2">
      <c r="A13">
        <v>10</v>
      </c>
      <c r="B13">
        <v>168</v>
      </c>
      <c r="C13">
        <v>74</v>
      </c>
      <c r="F13">
        <v>38</v>
      </c>
      <c r="G13">
        <v>0.53700000000000003</v>
      </c>
      <c r="H13">
        <v>34</v>
      </c>
      <c r="I13">
        <v>1</v>
      </c>
      <c r="K13" t="s">
        <v>44</v>
      </c>
    </row>
    <row r="14" spans="1:16" x14ac:dyDescent="0.2">
      <c r="A14">
        <v>10</v>
      </c>
      <c r="B14">
        <v>139</v>
      </c>
      <c r="C14">
        <v>80</v>
      </c>
      <c r="F14">
        <v>27.1</v>
      </c>
      <c r="G14">
        <v>1.4410000000000001</v>
      </c>
      <c r="H14">
        <v>57</v>
      </c>
      <c r="I14">
        <v>0</v>
      </c>
      <c r="K14" s="9" t="s">
        <v>43</v>
      </c>
    </row>
    <row r="15" spans="1:16" x14ac:dyDescent="0.2">
      <c r="A15">
        <v>1</v>
      </c>
      <c r="B15">
        <v>189</v>
      </c>
      <c r="C15">
        <v>60</v>
      </c>
      <c r="D15">
        <v>23</v>
      </c>
      <c r="E15">
        <v>846</v>
      </c>
      <c r="F15">
        <v>30.1</v>
      </c>
      <c r="G15">
        <v>0.39800000000000002</v>
      </c>
      <c r="H15">
        <v>59</v>
      </c>
      <c r="I15">
        <v>1</v>
      </c>
      <c r="K15" s="12" t="s">
        <v>45</v>
      </c>
    </row>
    <row r="16" spans="1:16" x14ac:dyDescent="0.2">
      <c r="A16">
        <v>5</v>
      </c>
      <c r="B16">
        <v>166</v>
      </c>
      <c r="C16">
        <v>72</v>
      </c>
      <c r="D16">
        <v>19</v>
      </c>
      <c r="E16">
        <v>175</v>
      </c>
      <c r="F16">
        <v>25.8</v>
      </c>
      <c r="G16">
        <v>0.58699999999999997</v>
      </c>
      <c r="H16">
        <v>51</v>
      </c>
      <c r="I16">
        <v>1</v>
      </c>
      <c r="K16" s="13" t="s">
        <v>46</v>
      </c>
    </row>
    <row r="17" spans="1:11" x14ac:dyDescent="0.2">
      <c r="A17">
        <v>7</v>
      </c>
      <c r="B17">
        <v>100</v>
      </c>
      <c r="F17">
        <v>30</v>
      </c>
      <c r="G17">
        <v>0.48399999999999999</v>
      </c>
      <c r="H17">
        <v>32</v>
      </c>
      <c r="I17">
        <v>1</v>
      </c>
      <c r="K17" s="13" t="s">
        <v>47</v>
      </c>
    </row>
    <row r="18" spans="1:11" x14ac:dyDescent="0.2">
      <c r="A18">
        <v>0</v>
      </c>
      <c r="B18">
        <v>118</v>
      </c>
      <c r="C18">
        <v>84</v>
      </c>
      <c r="D18">
        <v>47</v>
      </c>
      <c r="E18">
        <v>230</v>
      </c>
      <c r="F18">
        <v>45.8</v>
      </c>
      <c r="G18">
        <v>0.55100000000000005</v>
      </c>
      <c r="H18">
        <v>31</v>
      </c>
      <c r="I18">
        <v>1</v>
      </c>
    </row>
    <row r="19" spans="1:11" x14ac:dyDescent="0.2">
      <c r="A19">
        <v>7</v>
      </c>
      <c r="B19">
        <v>107</v>
      </c>
      <c r="C19">
        <v>74</v>
      </c>
      <c r="F19">
        <v>29.6</v>
      </c>
      <c r="G19">
        <v>0.254</v>
      </c>
      <c r="H19">
        <v>31</v>
      </c>
      <c r="I19">
        <v>1</v>
      </c>
    </row>
    <row r="20" spans="1:11" x14ac:dyDescent="0.2">
      <c r="A20">
        <v>1</v>
      </c>
      <c r="B20">
        <v>103</v>
      </c>
      <c r="C20">
        <v>30</v>
      </c>
      <c r="D20">
        <v>38</v>
      </c>
      <c r="E20">
        <v>83</v>
      </c>
      <c r="F20">
        <v>43.3</v>
      </c>
      <c r="G20">
        <v>0.183</v>
      </c>
      <c r="H20">
        <v>33</v>
      </c>
      <c r="I20">
        <v>0</v>
      </c>
    </row>
    <row r="21" spans="1:11" x14ac:dyDescent="0.2">
      <c r="A21">
        <v>1</v>
      </c>
      <c r="B21">
        <v>115</v>
      </c>
      <c r="C21">
        <v>70</v>
      </c>
      <c r="D21">
        <v>30</v>
      </c>
      <c r="E21">
        <v>96</v>
      </c>
      <c r="F21">
        <v>34.6</v>
      </c>
      <c r="G21">
        <v>0.52900000000000003</v>
      </c>
      <c r="H21">
        <v>32</v>
      </c>
      <c r="I21">
        <v>1</v>
      </c>
    </row>
    <row r="22" spans="1:11" x14ac:dyDescent="0.2">
      <c r="A22">
        <v>3</v>
      </c>
      <c r="B22">
        <v>126</v>
      </c>
      <c r="C22">
        <v>88</v>
      </c>
      <c r="D22">
        <v>41</v>
      </c>
      <c r="E22">
        <v>235</v>
      </c>
      <c r="F22">
        <v>39.299999999999997</v>
      </c>
      <c r="G22">
        <v>0.70399999999999996</v>
      </c>
      <c r="H22">
        <v>27</v>
      </c>
      <c r="I22">
        <v>0</v>
      </c>
    </row>
    <row r="23" spans="1:11" x14ac:dyDescent="0.2">
      <c r="A23">
        <v>8</v>
      </c>
      <c r="B23">
        <v>99</v>
      </c>
      <c r="C23">
        <v>84</v>
      </c>
      <c r="F23">
        <v>35.4</v>
      </c>
      <c r="G23">
        <v>0.38800000000000001</v>
      </c>
      <c r="H23">
        <v>50</v>
      </c>
      <c r="I23">
        <v>0</v>
      </c>
    </row>
    <row r="24" spans="1:11" x14ac:dyDescent="0.2">
      <c r="A24">
        <v>7</v>
      </c>
      <c r="B24">
        <v>196</v>
      </c>
      <c r="C24">
        <v>90</v>
      </c>
      <c r="F24">
        <v>39.799999999999997</v>
      </c>
      <c r="G24">
        <v>0.45100000000000001</v>
      </c>
      <c r="H24">
        <v>41</v>
      </c>
      <c r="I24">
        <v>1</v>
      </c>
    </row>
    <row r="25" spans="1:11" x14ac:dyDescent="0.2">
      <c r="A25">
        <v>9</v>
      </c>
      <c r="B25">
        <v>119</v>
      </c>
      <c r="C25">
        <v>80</v>
      </c>
      <c r="D25">
        <v>35</v>
      </c>
      <c r="F25">
        <v>29</v>
      </c>
      <c r="G25">
        <v>0.26300000000000001</v>
      </c>
      <c r="H25">
        <v>29</v>
      </c>
      <c r="I25">
        <v>1</v>
      </c>
    </row>
    <row r="26" spans="1:11" x14ac:dyDescent="0.2">
      <c r="A26">
        <v>11</v>
      </c>
      <c r="B26">
        <v>143</v>
      </c>
      <c r="C26">
        <v>94</v>
      </c>
      <c r="D26">
        <v>33</v>
      </c>
      <c r="E26">
        <v>146</v>
      </c>
      <c r="F26">
        <v>36.6</v>
      </c>
      <c r="G26">
        <v>0.254</v>
      </c>
      <c r="H26">
        <v>51</v>
      </c>
      <c r="I26">
        <v>1</v>
      </c>
    </row>
    <row r="27" spans="1:11" x14ac:dyDescent="0.2">
      <c r="A27">
        <v>10</v>
      </c>
      <c r="B27">
        <v>125</v>
      </c>
      <c r="C27">
        <v>70</v>
      </c>
      <c r="D27">
        <v>26</v>
      </c>
      <c r="E27">
        <v>115</v>
      </c>
      <c r="F27">
        <v>31.1</v>
      </c>
      <c r="G27">
        <v>0.20499999999999999</v>
      </c>
      <c r="H27">
        <v>41</v>
      </c>
      <c r="I27">
        <v>1</v>
      </c>
    </row>
    <row r="28" spans="1:11" x14ac:dyDescent="0.2">
      <c r="A28">
        <v>7</v>
      </c>
      <c r="B28">
        <v>147</v>
      </c>
      <c r="C28">
        <v>76</v>
      </c>
      <c r="F28">
        <v>39.4</v>
      </c>
      <c r="G28">
        <v>0.25700000000000001</v>
      </c>
      <c r="H28">
        <v>43</v>
      </c>
      <c r="I28">
        <v>1</v>
      </c>
    </row>
    <row r="29" spans="1:11" x14ac:dyDescent="0.2">
      <c r="A29">
        <v>1</v>
      </c>
      <c r="B29">
        <v>97</v>
      </c>
      <c r="C29">
        <v>66</v>
      </c>
      <c r="D29">
        <v>15</v>
      </c>
      <c r="E29">
        <v>140</v>
      </c>
      <c r="F29">
        <v>23.2</v>
      </c>
      <c r="G29">
        <v>0.48699999999999999</v>
      </c>
      <c r="H29">
        <v>22</v>
      </c>
      <c r="I29">
        <v>0</v>
      </c>
    </row>
    <row r="30" spans="1:11" x14ac:dyDescent="0.2">
      <c r="A30">
        <v>13</v>
      </c>
      <c r="B30">
        <v>145</v>
      </c>
      <c r="C30">
        <v>82</v>
      </c>
      <c r="D30">
        <v>19</v>
      </c>
      <c r="E30">
        <v>110</v>
      </c>
      <c r="F30">
        <v>22.2</v>
      </c>
      <c r="G30">
        <v>0.245</v>
      </c>
      <c r="H30">
        <v>57</v>
      </c>
      <c r="I30">
        <v>0</v>
      </c>
    </row>
    <row r="31" spans="1:11" x14ac:dyDescent="0.2">
      <c r="A31">
        <v>5</v>
      </c>
      <c r="B31">
        <v>117</v>
      </c>
      <c r="C31">
        <v>92</v>
      </c>
      <c r="F31">
        <v>34.1</v>
      </c>
      <c r="G31">
        <v>0.33700000000000002</v>
      </c>
      <c r="H31">
        <v>38</v>
      </c>
      <c r="I31">
        <v>0</v>
      </c>
    </row>
    <row r="32" spans="1:11" x14ac:dyDescent="0.2">
      <c r="A32">
        <v>5</v>
      </c>
      <c r="B32">
        <v>109</v>
      </c>
      <c r="C32">
        <v>75</v>
      </c>
      <c r="D32">
        <v>26</v>
      </c>
      <c r="F32">
        <v>36</v>
      </c>
      <c r="G32">
        <v>0.54600000000000004</v>
      </c>
      <c r="H32">
        <v>60</v>
      </c>
      <c r="I32">
        <v>0</v>
      </c>
    </row>
    <row r="33" spans="1:11" x14ac:dyDescent="0.2">
      <c r="A33">
        <v>3</v>
      </c>
      <c r="B33">
        <v>158</v>
      </c>
      <c r="C33">
        <v>76</v>
      </c>
      <c r="D33">
        <v>36</v>
      </c>
      <c r="E33">
        <v>245</v>
      </c>
      <c r="F33">
        <v>31.6</v>
      </c>
      <c r="G33">
        <v>0.85099999999999998</v>
      </c>
      <c r="H33">
        <v>28</v>
      </c>
      <c r="I33">
        <v>1</v>
      </c>
    </row>
    <row r="34" spans="1:11" x14ac:dyDescent="0.2">
      <c r="A34">
        <v>3</v>
      </c>
      <c r="B34">
        <v>88</v>
      </c>
      <c r="C34">
        <v>58</v>
      </c>
      <c r="D34">
        <v>11</v>
      </c>
      <c r="E34">
        <v>54</v>
      </c>
      <c r="F34">
        <v>24.8</v>
      </c>
      <c r="G34">
        <v>0.26700000000000002</v>
      </c>
      <c r="H34">
        <v>22</v>
      </c>
      <c r="I34">
        <v>0</v>
      </c>
    </row>
    <row r="35" spans="1:11" x14ac:dyDescent="0.2">
      <c r="A35">
        <v>6</v>
      </c>
      <c r="B35">
        <v>92</v>
      </c>
      <c r="C35">
        <v>92</v>
      </c>
      <c r="F35">
        <v>19.899999999999999</v>
      </c>
      <c r="G35">
        <v>0.188</v>
      </c>
      <c r="H35">
        <v>28</v>
      </c>
      <c r="I35">
        <v>0</v>
      </c>
    </row>
    <row r="36" spans="1:11" x14ac:dyDescent="0.2">
      <c r="A36">
        <v>10</v>
      </c>
      <c r="B36">
        <v>122</v>
      </c>
      <c r="C36">
        <v>78</v>
      </c>
      <c r="D36">
        <v>31</v>
      </c>
      <c r="F36">
        <v>27.6</v>
      </c>
      <c r="G36">
        <v>0.51200000000000001</v>
      </c>
      <c r="H36">
        <v>45</v>
      </c>
      <c r="I36">
        <v>0</v>
      </c>
    </row>
    <row r="37" spans="1:11" x14ac:dyDescent="0.2">
      <c r="A37">
        <v>4</v>
      </c>
      <c r="B37">
        <v>103</v>
      </c>
      <c r="C37">
        <v>60</v>
      </c>
      <c r="D37">
        <v>33</v>
      </c>
      <c r="E37">
        <v>192</v>
      </c>
      <c r="F37">
        <v>24</v>
      </c>
      <c r="G37">
        <v>0.96599999999999997</v>
      </c>
      <c r="H37">
        <v>33</v>
      </c>
      <c r="I37">
        <v>0</v>
      </c>
    </row>
    <row r="38" spans="1:11" x14ac:dyDescent="0.2">
      <c r="A38">
        <v>11</v>
      </c>
      <c r="B38">
        <v>138</v>
      </c>
      <c r="C38">
        <v>76</v>
      </c>
      <c r="F38">
        <v>33.200000000000003</v>
      </c>
      <c r="G38">
        <v>0.42</v>
      </c>
      <c r="H38">
        <v>35</v>
      </c>
      <c r="I38">
        <v>0</v>
      </c>
    </row>
    <row r="39" spans="1:11" x14ac:dyDescent="0.2">
      <c r="A39">
        <v>9</v>
      </c>
      <c r="B39">
        <v>102</v>
      </c>
      <c r="C39">
        <v>76</v>
      </c>
      <c r="D39">
        <v>37</v>
      </c>
      <c r="F39">
        <v>32.9</v>
      </c>
      <c r="G39">
        <v>0.66500000000000004</v>
      </c>
      <c r="H39">
        <v>46</v>
      </c>
      <c r="I39">
        <v>1</v>
      </c>
    </row>
    <row r="40" spans="1:11" x14ac:dyDescent="0.2">
      <c r="A40">
        <v>2</v>
      </c>
      <c r="B40">
        <v>90</v>
      </c>
      <c r="C40">
        <v>68</v>
      </c>
      <c r="D40">
        <v>42</v>
      </c>
      <c r="F40">
        <v>38.200000000000003</v>
      </c>
      <c r="G40">
        <v>0.503</v>
      </c>
      <c r="H40">
        <v>27</v>
      </c>
      <c r="I40">
        <v>1</v>
      </c>
    </row>
    <row r="41" spans="1:11" x14ac:dyDescent="0.2">
      <c r="A41">
        <v>4</v>
      </c>
      <c r="B41">
        <v>111</v>
      </c>
      <c r="C41">
        <v>72</v>
      </c>
      <c r="D41">
        <v>47</v>
      </c>
      <c r="E41">
        <v>207</v>
      </c>
      <c r="F41">
        <v>37.1</v>
      </c>
      <c r="G41">
        <v>1.39</v>
      </c>
      <c r="H41">
        <v>56</v>
      </c>
      <c r="I41">
        <v>1</v>
      </c>
      <c r="K41" s="9" t="s">
        <v>48</v>
      </c>
    </row>
    <row r="42" spans="1:11" x14ac:dyDescent="0.2">
      <c r="A42">
        <v>3</v>
      </c>
      <c r="B42">
        <v>180</v>
      </c>
      <c r="C42">
        <v>64</v>
      </c>
      <c r="D42">
        <v>25</v>
      </c>
      <c r="E42">
        <v>70</v>
      </c>
      <c r="F42">
        <v>34</v>
      </c>
      <c r="G42">
        <v>0.27100000000000002</v>
      </c>
      <c r="H42">
        <v>26</v>
      </c>
      <c r="I42">
        <v>0</v>
      </c>
      <c r="K42" s="12" t="s">
        <v>49</v>
      </c>
    </row>
    <row r="43" spans="1:11" x14ac:dyDescent="0.2">
      <c r="A43">
        <v>7</v>
      </c>
      <c r="B43">
        <v>133</v>
      </c>
      <c r="C43">
        <v>84</v>
      </c>
      <c r="F43">
        <v>40.200000000000003</v>
      </c>
      <c r="G43">
        <v>0.69599999999999995</v>
      </c>
      <c r="H43">
        <v>37</v>
      </c>
      <c r="I43">
        <v>0</v>
      </c>
      <c r="K43" s="12" t="s">
        <v>50</v>
      </c>
    </row>
    <row r="44" spans="1:11" x14ac:dyDescent="0.2">
      <c r="A44">
        <v>7</v>
      </c>
      <c r="B44">
        <v>106</v>
      </c>
      <c r="C44">
        <v>92</v>
      </c>
      <c r="D44">
        <v>18</v>
      </c>
      <c r="F44">
        <v>22.7</v>
      </c>
      <c r="G44">
        <v>0.23499999999999999</v>
      </c>
      <c r="H44">
        <v>48</v>
      </c>
      <c r="I44">
        <v>0</v>
      </c>
      <c r="K44" s="13" t="s">
        <v>69</v>
      </c>
    </row>
    <row r="45" spans="1:11" x14ac:dyDescent="0.2">
      <c r="A45">
        <v>9</v>
      </c>
      <c r="B45">
        <v>171</v>
      </c>
      <c r="C45">
        <v>110</v>
      </c>
      <c r="D45">
        <v>24</v>
      </c>
      <c r="E45">
        <v>240</v>
      </c>
      <c r="F45">
        <v>45.4</v>
      </c>
      <c r="G45">
        <v>0.72099999999999997</v>
      </c>
      <c r="H45">
        <v>54</v>
      </c>
      <c r="I45">
        <v>1</v>
      </c>
    </row>
    <row r="46" spans="1:11" x14ac:dyDescent="0.2">
      <c r="A46">
        <v>7</v>
      </c>
      <c r="B46">
        <v>159</v>
      </c>
      <c r="C46">
        <v>64</v>
      </c>
      <c r="F46">
        <v>27.4</v>
      </c>
      <c r="G46">
        <v>0.29399999999999998</v>
      </c>
      <c r="H46">
        <v>40</v>
      </c>
      <c r="I46">
        <v>0</v>
      </c>
    </row>
    <row r="47" spans="1:11" x14ac:dyDescent="0.2">
      <c r="A47">
        <v>0</v>
      </c>
      <c r="B47">
        <v>180</v>
      </c>
      <c r="C47">
        <v>66</v>
      </c>
      <c r="D47">
        <v>39</v>
      </c>
      <c r="F47">
        <v>42</v>
      </c>
      <c r="G47">
        <v>1.893</v>
      </c>
      <c r="H47">
        <v>25</v>
      </c>
      <c r="I47">
        <v>1</v>
      </c>
    </row>
    <row r="48" spans="1:11" x14ac:dyDescent="0.2">
      <c r="A48">
        <v>1</v>
      </c>
      <c r="B48">
        <v>146</v>
      </c>
      <c r="C48">
        <v>56</v>
      </c>
      <c r="F48">
        <v>29.7</v>
      </c>
      <c r="G48">
        <v>0.56399999999999995</v>
      </c>
      <c r="H48">
        <v>29</v>
      </c>
      <c r="I48">
        <v>0</v>
      </c>
    </row>
    <row r="49" spans="1:9" x14ac:dyDescent="0.2">
      <c r="A49">
        <v>2</v>
      </c>
      <c r="B49">
        <v>71</v>
      </c>
      <c r="C49">
        <v>70</v>
      </c>
      <c r="D49">
        <v>27</v>
      </c>
      <c r="F49">
        <v>28</v>
      </c>
      <c r="G49">
        <v>0.58599999999999997</v>
      </c>
      <c r="H49">
        <v>22</v>
      </c>
      <c r="I49">
        <v>0</v>
      </c>
    </row>
    <row r="50" spans="1:9" x14ac:dyDescent="0.2">
      <c r="A50">
        <v>7</v>
      </c>
      <c r="B50">
        <v>103</v>
      </c>
      <c r="C50">
        <v>66</v>
      </c>
      <c r="D50">
        <v>32</v>
      </c>
      <c r="F50">
        <v>39.1</v>
      </c>
      <c r="G50">
        <v>0.34399999999999997</v>
      </c>
      <c r="H50">
        <v>31</v>
      </c>
      <c r="I50">
        <v>1</v>
      </c>
    </row>
    <row r="51" spans="1:9" hidden="1" x14ac:dyDescent="0.2">
      <c r="A51">
        <v>7</v>
      </c>
      <c r="B51">
        <v>105</v>
      </c>
      <c r="G51">
        <v>0.30499999999999999</v>
      </c>
      <c r="H51">
        <v>24</v>
      </c>
      <c r="I51">
        <v>0</v>
      </c>
    </row>
    <row r="52" spans="1:9" x14ac:dyDescent="0.2">
      <c r="A52">
        <v>1</v>
      </c>
      <c r="B52">
        <v>103</v>
      </c>
      <c r="C52">
        <v>80</v>
      </c>
      <c r="D52">
        <v>11</v>
      </c>
      <c r="E52">
        <v>82</v>
      </c>
      <c r="F52">
        <v>19.399999999999999</v>
      </c>
      <c r="G52">
        <v>0.49099999999999999</v>
      </c>
      <c r="H52">
        <v>22</v>
      </c>
      <c r="I52">
        <v>0</v>
      </c>
    </row>
    <row r="53" spans="1:9" x14ac:dyDescent="0.2">
      <c r="A53">
        <v>1</v>
      </c>
      <c r="B53">
        <v>101</v>
      </c>
      <c r="C53">
        <v>50</v>
      </c>
      <c r="D53">
        <v>15</v>
      </c>
      <c r="E53">
        <v>36</v>
      </c>
      <c r="F53">
        <v>24.2</v>
      </c>
      <c r="G53">
        <v>0.52600000000000002</v>
      </c>
      <c r="H53">
        <v>26</v>
      </c>
      <c r="I53">
        <v>0</v>
      </c>
    </row>
    <row r="54" spans="1:9" x14ac:dyDescent="0.2">
      <c r="A54">
        <v>5</v>
      </c>
      <c r="B54">
        <v>88</v>
      </c>
      <c r="C54">
        <v>66</v>
      </c>
      <c r="D54">
        <v>21</v>
      </c>
      <c r="E54">
        <v>23</v>
      </c>
      <c r="F54">
        <v>24.4</v>
      </c>
      <c r="G54">
        <v>0.34200000000000003</v>
      </c>
      <c r="H54">
        <v>30</v>
      </c>
      <c r="I54">
        <v>0</v>
      </c>
    </row>
    <row r="55" spans="1:9" x14ac:dyDescent="0.2">
      <c r="A55">
        <v>8</v>
      </c>
      <c r="B55">
        <v>176</v>
      </c>
      <c r="C55">
        <v>90</v>
      </c>
      <c r="D55">
        <v>34</v>
      </c>
      <c r="E55">
        <v>300</v>
      </c>
      <c r="F55">
        <v>33.700000000000003</v>
      </c>
      <c r="G55">
        <v>0.46700000000000003</v>
      </c>
      <c r="H55">
        <v>58</v>
      </c>
      <c r="I55">
        <v>1</v>
      </c>
    </row>
    <row r="56" spans="1:9" x14ac:dyDescent="0.2">
      <c r="A56">
        <v>7</v>
      </c>
      <c r="B56">
        <v>150</v>
      </c>
      <c r="C56">
        <v>66</v>
      </c>
      <c r="D56">
        <v>42</v>
      </c>
      <c r="E56">
        <v>342</v>
      </c>
      <c r="F56">
        <v>34.700000000000003</v>
      </c>
      <c r="G56">
        <v>0.71799999999999997</v>
      </c>
      <c r="H56">
        <v>42</v>
      </c>
      <c r="I56">
        <v>0</v>
      </c>
    </row>
    <row r="57" spans="1:9" x14ac:dyDescent="0.2">
      <c r="A57">
        <v>1</v>
      </c>
      <c r="B57">
        <v>73</v>
      </c>
      <c r="C57">
        <v>50</v>
      </c>
      <c r="D57">
        <v>10</v>
      </c>
      <c r="F57">
        <v>23</v>
      </c>
      <c r="G57">
        <v>0.248</v>
      </c>
      <c r="H57">
        <v>21</v>
      </c>
      <c r="I57">
        <v>0</v>
      </c>
    </row>
    <row r="58" spans="1:9" x14ac:dyDescent="0.2">
      <c r="A58">
        <v>7</v>
      </c>
      <c r="B58">
        <v>187</v>
      </c>
      <c r="C58">
        <v>68</v>
      </c>
      <c r="D58">
        <v>39</v>
      </c>
      <c r="E58">
        <v>304</v>
      </c>
      <c r="F58">
        <v>37.700000000000003</v>
      </c>
      <c r="G58">
        <v>0.254</v>
      </c>
      <c r="H58">
        <v>41</v>
      </c>
      <c r="I58">
        <v>1</v>
      </c>
    </row>
    <row r="59" spans="1:9" x14ac:dyDescent="0.2">
      <c r="A59">
        <v>0</v>
      </c>
      <c r="B59">
        <v>100</v>
      </c>
      <c r="C59">
        <v>88</v>
      </c>
      <c r="D59">
        <v>60</v>
      </c>
      <c r="E59">
        <v>110</v>
      </c>
      <c r="F59">
        <v>46.8</v>
      </c>
      <c r="G59">
        <v>0.96199999999999997</v>
      </c>
      <c r="H59">
        <v>31</v>
      </c>
      <c r="I59">
        <v>0</v>
      </c>
    </row>
    <row r="60" spans="1:9" x14ac:dyDescent="0.2">
      <c r="A60">
        <v>0</v>
      </c>
      <c r="B60">
        <v>146</v>
      </c>
      <c r="C60">
        <v>82</v>
      </c>
      <c r="F60">
        <v>40.5</v>
      </c>
      <c r="G60">
        <v>1.7809999999999999</v>
      </c>
      <c r="H60">
        <v>44</v>
      </c>
      <c r="I60">
        <v>0</v>
      </c>
    </row>
    <row r="61" spans="1:9" x14ac:dyDescent="0.2">
      <c r="A61">
        <v>0</v>
      </c>
      <c r="B61">
        <v>105</v>
      </c>
      <c r="C61">
        <v>64</v>
      </c>
      <c r="D61">
        <v>41</v>
      </c>
      <c r="E61">
        <v>142</v>
      </c>
      <c r="F61">
        <v>41.5</v>
      </c>
      <c r="G61">
        <v>0.17299999999999999</v>
      </c>
      <c r="H61">
        <v>22</v>
      </c>
      <c r="I61">
        <v>0</v>
      </c>
    </row>
    <row r="62" spans="1:9" hidden="1" x14ac:dyDescent="0.2">
      <c r="A62">
        <v>2</v>
      </c>
      <c r="B62">
        <v>84</v>
      </c>
      <c r="G62">
        <v>0.30399999999999999</v>
      </c>
      <c r="H62">
        <v>21</v>
      </c>
      <c r="I62">
        <v>0</v>
      </c>
    </row>
    <row r="63" spans="1:9" x14ac:dyDescent="0.2">
      <c r="A63">
        <v>8</v>
      </c>
      <c r="B63">
        <v>133</v>
      </c>
      <c r="C63">
        <v>72</v>
      </c>
      <c r="F63">
        <v>32.9</v>
      </c>
      <c r="G63">
        <v>0.27</v>
      </c>
      <c r="H63">
        <v>39</v>
      </c>
      <c r="I63">
        <v>1</v>
      </c>
    </row>
    <row r="64" spans="1:9" x14ac:dyDescent="0.2">
      <c r="A64">
        <v>5</v>
      </c>
      <c r="B64">
        <v>44</v>
      </c>
      <c r="C64">
        <v>62</v>
      </c>
      <c r="F64">
        <v>25</v>
      </c>
      <c r="G64">
        <v>0.58699999999999997</v>
      </c>
      <c r="H64">
        <v>36</v>
      </c>
      <c r="I64">
        <v>0</v>
      </c>
    </row>
    <row r="65" spans="1:9" x14ac:dyDescent="0.2">
      <c r="A65">
        <v>2</v>
      </c>
      <c r="B65">
        <v>141</v>
      </c>
      <c r="C65">
        <v>58</v>
      </c>
      <c r="D65">
        <v>34</v>
      </c>
      <c r="E65">
        <v>128</v>
      </c>
      <c r="F65">
        <v>25.4</v>
      </c>
      <c r="G65">
        <v>0.69899999999999995</v>
      </c>
      <c r="H65">
        <v>24</v>
      </c>
      <c r="I65">
        <v>0</v>
      </c>
    </row>
    <row r="66" spans="1:9" x14ac:dyDescent="0.2">
      <c r="A66">
        <v>7</v>
      </c>
      <c r="B66">
        <v>114</v>
      </c>
      <c r="C66">
        <v>66</v>
      </c>
      <c r="F66">
        <v>32.799999999999997</v>
      </c>
      <c r="G66">
        <v>0.25800000000000001</v>
      </c>
      <c r="H66">
        <v>42</v>
      </c>
      <c r="I66">
        <v>1</v>
      </c>
    </row>
    <row r="67" spans="1:9" x14ac:dyDescent="0.2">
      <c r="A67">
        <v>5</v>
      </c>
      <c r="B67">
        <v>99</v>
      </c>
      <c r="C67">
        <v>74</v>
      </c>
      <c r="D67">
        <v>27</v>
      </c>
      <c r="F67">
        <v>29</v>
      </c>
      <c r="G67">
        <v>0.20300000000000001</v>
      </c>
      <c r="H67">
        <v>32</v>
      </c>
      <c r="I67">
        <v>0</v>
      </c>
    </row>
    <row r="68" spans="1:9" x14ac:dyDescent="0.2">
      <c r="A68">
        <v>0</v>
      </c>
      <c r="B68">
        <v>109</v>
      </c>
      <c r="C68">
        <v>88</v>
      </c>
      <c r="D68">
        <v>30</v>
      </c>
      <c r="F68">
        <v>32.5</v>
      </c>
      <c r="G68">
        <v>0.85499999999999998</v>
      </c>
      <c r="H68">
        <v>38</v>
      </c>
      <c r="I68">
        <v>1</v>
      </c>
    </row>
    <row r="69" spans="1:9" x14ac:dyDescent="0.2">
      <c r="A69">
        <v>2</v>
      </c>
      <c r="B69">
        <v>109</v>
      </c>
      <c r="C69">
        <v>92</v>
      </c>
      <c r="F69">
        <v>42.7</v>
      </c>
      <c r="G69">
        <v>0.84499999999999997</v>
      </c>
      <c r="H69">
        <v>54</v>
      </c>
      <c r="I69">
        <v>0</v>
      </c>
    </row>
    <row r="70" spans="1:9" x14ac:dyDescent="0.2">
      <c r="A70">
        <v>1</v>
      </c>
      <c r="B70">
        <v>95</v>
      </c>
      <c r="C70">
        <v>66</v>
      </c>
      <c r="D70">
        <v>13</v>
      </c>
      <c r="E70">
        <v>38</v>
      </c>
      <c r="F70">
        <v>19.600000000000001</v>
      </c>
      <c r="G70">
        <v>0.33400000000000002</v>
      </c>
      <c r="H70">
        <v>25</v>
      </c>
      <c r="I70">
        <v>0</v>
      </c>
    </row>
    <row r="71" spans="1:9" x14ac:dyDescent="0.2">
      <c r="A71">
        <v>4</v>
      </c>
      <c r="B71">
        <v>146</v>
      </c>
      <c r="C71">
        <v>85</v>
      </c>
      <c r="D71">
        <v>27</v>
      </c>
      <c r="E71">
        <v>100</v>
      </c>
      <c r="F71">
        <v>28.9</v>
      </c>
      <c r="G71">
        <v>0.189</v>
      </c>
      <c r="H71">
        <v>27</v>
      </c>
      <c r="I71">
        <v>0</v>
      </c>
    </row>
    <row r="72" spans="1:9" x14ac:dyDescent="0.2">
      <c r="A72">
        <v>2</v>
      </c>
      <c r="B72">
        <v>100</v>
      </c>
      <c r="C72">
        <v>66</v>
      </c>
      <c r="D72">
        <v>20</v>
      </c>
      <c r="E72">
        <v>90</v>
      </c>
      <c r="F72">
        <v>32.9</v>
      </c>
      <c r="G72">
        <v>0.86699999999999999</v>
      </c>
      <c r="H72">
        <v>28</v>
      </c>
      <c r="I72">
        <v>1</v>
      </c>
    </row>
    <row r="73" spans="1:9" x14ac:dyDescent="0.2">
      <c r="A73">
        <v>5</v>
      </c>
      <c r="B73">
        <v>139</v>
      </c>
      <c r="C73">
        <v>64</v>
      </c>
      <c r="D73">
        <v>35</v>
      </c>
      <c r="E73">
        <v>140</v>
      </c>
      <c r="F73">
        <v>28.6</v>
      </c>
      <c r="G73">
        <v>0.41099999999999998</v>
      </c>
      <c r="H73">
        <v>26</v>
      </c>
      <c r="I73">
        <v>0</v>
      </c>
    </row>
    <row r="74" spans="1:9" x14ac:dyDescent="0.2">
      <c r="A74">
        <v>13</v>
      </c>
      <c r="B74">
        <v>126</v>
      </c>
      <c r="C74">
        <v>90</v>
      </c>
      <c r="F74">
        <v>43.4</v>
      </c>
      <c r="G74">
        <v>0.58299999999999996</v>
      </c>
      <c r="H74">
        <v>42</v>
      </c>
      <c r="I74">
        <v>1</v>
      </c>
    </row>
    <row r="75" spans="1:9" x14ac:dyDescent="0.2">
      <c r="A75">
        <v>4</v>
      </c>
      <c r="B75">
        <v>129</v>
      </c>
      <c r="C75">
        <v>86</v>
      </c>
      <c r="D75">
        <v>20</v>
      </c>
      <c r="E75">
        <v>270</v>
      </c>
      <c r="F75">
        <v>35.1</v>
      </c>
      <c r="G75">
        <v>0.23100000000000001</v>
      </c>
      <c r="H75">
        <v>23</v>
      </c>
      <c r="I75">
        <v>0</v>
      </c>
    </row>
    <row r="76" spans="1:9" x14ac:dyDescent="0.2">
      <c r="A76">
        <v>1</v>
      </c>
      <c r="B76">
        <v>79</v>
      </c>
      <c r="C76">
        <v>75</v>
      </c>
      <c r="D76">
        <v>30</v>
      </c>
      <c r="F76">
        <v>32</v>
      </c>
      <c r="G76">
        <v>0.39600000000000002</v>
      </c>
      <c r="H76">
        <v>22</v>
      </c>
      <c r="I76">
        <v>0</v>
      </c>
    </row>
    <row r="77" spans="1:9" x14ac:dyDescent="0.2">
      <c r="A77">
        <v>1</v>
      </c>
      <c r="C77">
        <v>48</v>
      </c>
      <c r="D77">
        <v>20</v>
      </c>
      <c r="F77">
        <v>24.7</v>
      </c>
      <c r="G77">
        <v>0.14000000000000001</v>
      </c>
      <c r="H77">
        <v>22</v>
      </c>
      <c r="I77">
        <v>0</v>
      </c>
    </row>
    <row r="78" spans="1:9" x14ac:dyDescent="0.2">
      <c r="A78">
        <v>7</v>
      </c>
      <c r="B78">
        <v>62</v>
      </c>
      <c r="C78">
        <v>78</v>
      </c>
      <c r="F78">
        <v>32.6</v>
      </c>
      <c r="G78">
        <v>0.39100000000000001</v>
      </c>
      <c r="H78">
        <v>41</v>
      </c>
      <c r="I78">
        <v>0</v>
      </c>
    </row>
    <row r="79" spans="1:9" x14ac:dyDescent="0.2">
      <c r="A79">
        <v>5</v>
      </c>
      <c r="B79">
        <v>95</v>
      </c>
      <c r="C79">
        <v>72</v>
      </c>
      <c r="D79">
        <v>33</v>
      </c>
      <c r="F79">
        <v>37.700000000000003</v>
      </c>
      <c r="G79">
        <v>0.37</v>
      </c>
      <c r="H79">
        <v>27</v>
      </c>
      <c r="I79">
        <v>0</v>
      </c>
    </row>
    <row r="80" spans="1:9" x14ac:dyDescent="0.2">
      <c r="A80">
        <v>0</v>
      </c>
      <c r="B80">
        <v>131</v>
      </c>
      <c r="F80">
        <v>43.2</v>
      </c>
      <c r="G80">
        <v>0.27</v>
      </c>
      <c r="H80">
        <v>26</v>
      </c>
      <c r="I80">
        <v>1</v>
      </c>
    </row>
    <row r="81" spans="1:9" x14ac:dyDescent="0.2">
      <c r="A81">
        <v>2</v>
      </c>
      <c r="B81">
        <v>112</v>
      </c>
      <c r="C81">
        <v>66</v>
      </c>
      <c r="D81">
        <v>22</v>
      </c>
      <c r="F81">
        <v>25</v>
      </c>
      <c r="G81">
        <v>0.307</v>
      </c>
      <c r="H81">
        <v>24</v>
      </c>
      <c r="I81">
        <v>0</v>
      </c>
    </row>
    <row r="82" spans="1:9" x14ac:dyDescent="0.2">
      <c r="A82">
        <v>3</v>
      </c>
      <c r="B82">
        <v>113</v>
      </c>
      <c r="C82">
        <v>44</v>
      </c>
      <c r="D82">
        <v>13</v>
      </c>
      <c r="F82">
        <v>22.4</v>
      </c>
      <c r="G82">
        <v>0.14000000000000001</v>
      </c>
      <c r="H82">
        <v>22</v>
      </c>
      <c r="I82">
        <v>0</v>
      </c>
    </row>
    <row r="83" spans="1:9" hidden="1" x14ac:dyDescent="0.2">
      <c r="A83">
        <v>2</v>
      </c>
      <c r="B83">
        <v>74</v>
      </c>
      <c r="G83">
        <v>0.10199999999999999</v>
      </c>
      <c r="H83">
        <v>22</v>
      </c>
      <c r="I83">
        <v>0</v>
      </c>
    </row>
    <row r="84" spans="1:9" x14ac:dyDescent="0.2">
      <c r="A84">
        <v>7</v>
      </c>
      <c r="B84">
        <v>83</v>
      </c>
      <c r="C84">
        <v>78</v>
      </c>
      <c r="D84">
        <v>26</v>
      </c>
      <c r="E84">
        <v>71</v>
      </c>
      <c r="F84">
        <v>29.3</v>
      </c>
      <c r="G84">
        <v>0.76700000000000002</v>
      </c>
      <c r="H84">
        <v>36</v>
      </c>
      <c r="I84">
        <v>0</v>
      </c>
    </row>
    <row r="85" spans="1:9" x14ac:dyDescent="0.2">
      <c r="A85">
        <v>0</v>
      </c>
      <c r="B85">
        <v>101</v>
      </c>
      <c r="C85">
        <v>65</v>
      </c>
      <c r="D85">
        <v>28</v>
      </c>
      <c r="F85">
        <v>24.6</v>
      </c>
      <c r="G85">
        <v>0.23699999999999999</v>
      </c>
      <c r="H85">
        <v>22</v>
      </c>
      <c r="I85">
        <v>0</v>
      </c>
    </row>
    <row r="86" spans="1:9" x14ac:dyDescent="0.2">
      <c r="A86">
        <v>5</v>
      </c>
      <c r="B86">
        <v>137</v>
      </c>
      <c r="C86">
        <v>108</v>
      </c>
      <c r="F86">
        <v>48.8</v>
      </c>
      <c r="G86">
        <v>0.22700000000000001</v>
      </c>
      <c r="H86">
        <v>37</v>
      </c>
      <c r="I86">
        <v>1</v>
      </c>
    </row>
    <row r="87" spans="1:9" x14ac:dyDescent="0.2">
      <c r="A87">
        <v>2</v>
      </c>
      <c r="B87">
        <v>110</v>
      </c>
      <c r="C87">
        <v>74</v>
      </c>
      <c r="D87">
        <v>29</v>
      </c>
      <c r="E87">
        <v>125</v>
      </c>
      <c r="F87">
        <v>32.4</v>
      </c>
      <c r="G87">
        <v>0.69799999999999995</v>
      </c>
      <c r="H87">
        <v>27</v>
      </c>
      <c r="I87">
        <v>0</v>
      </c>
    </row>
    <row r="88" spans="1:9" x14ac:dyDescent="0.2">
      <c r="A88">
        <v>13</v>
      </c>
      <c r="B88">
        <v>106</v>
      </c>
      <c r="C88">
        <v>72</v>
      </c>
      <c r="D88">
        <v>54</v>
      </c>
      <c r="F88">
        <v>36.6</v>
      </c>
      <c r="G88">
        <v>0.17799999999999999</v>
      </c>
      <c r="H88">
        <v>45</v>
      </c>
      <c r="I88">
        <v>0</v>
      </c>
    </row>
    <row r="89" spans="1:9" x14ac:dyDescent="0.2">
      <c r="A89">
        <v>2</v>
      </c>
      <c r="B89">
        <v>100</v>
      </c>
      <c r="C89">
        <v>68</v>
      </c>
      <c r="D89">
        <v>25</v>
      </c>
      <c r="E89">
        <v>71</v>
      </c>
      <c r="F89">
        <v>38.5</v>
      </c>
      <c r="G89">
        <v>0.32400000000000001</v>
      </c>
      <c r="H89">
        <v>26</v>
      </c>
      <c r="I89">
        <v>0</v>
      </c>
    </row>
    <row r="90" spans="1:9" x14ac:dyDescent="0.2">
      <c r="A90">
        <v>15</v>
      </c>
      <c r="B90">
        <v>136</v>
      </c>
      <c r="C90">
        <v>70</v>
      </c>
      <c r="D90">
        <v>32</v>
      </c>
      <c r="E90">
        <v>110</v>
      </c>
      <c r="F90">
        <v>37.1</v>
      </c>
      <c r="G90">
        <v>0.153</v>
      </c>
      <c r="H90">
        <v>43</v>
      </c>
      <c r="I90">
        <v>1</v>
      </c>
    </row>
    <row r="91" spans="1:9" x14ac:dyDescent="0.2">
      <c r="A91">
        <v>1</v>
      </c>
      <c r="B91">
        <v>107</v>
      </c>
      <c r="C91">
        <v>68</v>
      </c>
      <c r="D91">
        <v>19</v>
      </c>
      <c r="F91">
        <v>26.5</v>
      </c>
      <c r="G91">
        <v>0.16500000000000001</v>
      </c>
      <c r="H91">
        <v>24</v>
      </c>
      <c r="I91">
        <v>0</v>
      </c>
    </row>
    <row r="92" spans="1:9" x14ac:dyDescent="0.2">
      <c r="A92">
        <v>1</v>
      </c>
      <c r="B92">
        <v>80</v>
      </c>
      <c r="C92">
        <v>55</v>
      </c>
      <c r="F92">
        <v>19.100000000000001</v>
      </c>
      <c r="G92">
        <v>0.25800000000000001</v>
      </c>
      <c r="H92">
        <v>21</v>
      </c>
      <c r="I92">
        <v>0</v>
      </c>
    </row>
    <row r="93" spans="1:9" x14ac:dyDescent="0.2">
      <c r="A93">
        <v>4</v>
      </c>
      <c r="B93">
        <v>123</v>
      </c>
      <c r="C93">
        <v>80</v>
      </c>
      <c r="D93">
        <v>15</v>
      </c>
      <c r="E93">
        <v>176</v>
      </c>
      <c r="F93">
        <v>32</v>
      </c>
      <c r="G93">
        <v>0.443</v>
      </c>
      <c r="H93">
        <v>34</v>
      </c>
      <c r="I93">
        <v>0</v>
      </c>
    </row>
    <row r="94" spans="1:9" x14ac:dyDescent="0.2">
      <c r="A94">
        <v>7</v>
      </c>
      <c r="B94">
        <v>81</v>
      </c>
      <c r="C94">
        <v>78</v>
      </c>
      <c r="D94">
        <v>40</v>
      </c>
      <c r="E94">
        <v>48</v>
      </c>
      <c r="F94">
        <v>46.7</v>
      </c>
      <c r="G94">
        <v>0.26100000000000001</v>
      </c>
      <c r="H94">
        <v>42</v>
      </c>
      <c r="I94">
        <v>0</v>
      </c>
    </row>
    <row r="95" spans="1:9" x14ac:dyDescent="0.2">
      <c r="A95">
        <v>4</v>
      </c>
      <c r="B95">
        <v>134</v>
      </c>
      <c r="C95">
        <v>72</v>
      </c>
      <c r="F95">
        <v>23.8</v>
      </c>
      <c r="G95">
        <v>0.27700000000000002</v>
      </c>
      <c r="H95">
        <v>60</v>
      </c>
      <c r="I95">
        <v>1</v>
      </c>
    </row>
    <row r="96" spans="1:9" x14ac:dyDescent="0.2">
      <c r="A96">
        <v>2</v>
      </c>
      <c r="B96">
        <v>142</v>
      </c>
      <c r="C96">
        <v>82</v>
      </c>
      <c r="D96">
        <v>18</v>
      </c>
      <c r="E96">
        <v>64</v>
      </c>
      <c r="F96">
        <v>24.7</v>
      </c>
      <c r="G96">
        <v>0.76100000000000001</v>
      </c>
      <c r="H96">
        <v>21</v>
      </c>
      <c r="I96">
        <v>0</v>
      </c>
    </row>
    <row r="97" spans="1:9" x14ac:dyDescent="0.2">
      <c r="A97">
        <v>6</v>
      </c>
      <c r="B97">
        <v>144</v>
      </c>
      <c r="C97">
        <v>72</v>
      </c>
      <c r="D97">
        <v>27</v>
      </c>
      <c r="E97">
        <v>228</v>
      </c>
      <c r="F97">
        <v>33.9</v>
      </c>
      <c r="G97">
        <v>0.255</v>
      </c>
      <c r="H97">
        <v>40</v>
      </c>
      <c r="I97">
        <v>0</v>
      </c>
    </row>
    <row r="98" spans="1:9" x14ac:dyDescent="0.2">
      <c r="A98">
        <v>2</v>
      </c>
      <c r="B98">
        <v>92</v>
      </c>
      <c r="C98">
        <v>62</v>
      </c>
      <c r="D98">
        <v>28</v>
      </c>
      <c r="F98">
        <v>31.6</v>
      </c>
      <c r="G98">
        <v>0.13</v>
      </c>
      <c r="H98">
        <v>24</v>
      </c>
      <c r="I98">
        <v>0</v>
      </c>
    </row>
    <row r="99" spans="1:9" x14ac:dyDescent="0.2">
      <c r="A99">
        <v>1</v>
      </c>
      <c r="B99">
        <v>71</v>
      </c>
      <c r="C99">
        <v>48</v>
      </c>
      <c r="D99">
        <v>18</v>
      </c>
      <c r="E99">
        <v>76</v>
      </c>
      <c r="F99">
        <v>20.399999999999999</v>
      </c>
      <c r="G99">
        <v>0.32300000000000001</v>
      </c>
      <c r="H99">
        <v>22</v>
      </c>
      <c r="I99">
        <v>0</v>
      </c>
    </row>
    <row r="100" spans="1:9" x14ac:dyDescent="0.2">
      <c r="A100">
        <v>6</v>
      </c>
      <c r="B100">
        <v>93</v>
      </c>
      <c r="C100">
        <v>50</v>
      </c>
      <c r="D100">
        <v>30</v>
      </c>
      <c r="E100">
        <v>64</v>
      </c>
      <c r="F100">
        <v>28.7</v>
      </c>
      <c r="G100">
        <v>0.35599999999999998</v>
      </c>
      <c r="H100">
        <v>23</v>
      </c>
      <c r="I100">
        <v>0</v>
      </c>
    </row>
    <row r="101" spans="1:9" x14ac:dyDescent="0.2">
      <c r="A101">
        <v>1</v>
      </c>
      <c r="B101">
        <v>122</v>
      </c>
      <c r="C101">
        <v>90</v>
      </c>
      <c r="D101">
        <v>51</v>
      </c>
      <c r="E101">
        <v>220</v>
      </c>
      <c r="F101">
        <v>49.7</v>
      </c>
      <c r="G101">
        <v>0.32500000000000001</v>
      </c>
      <c r="H101">
        <v>31</v>
      </c>
      <c r="I101">
        <v>1</v>
      </c>
    </row>
    <row r="102" spans="1:9" x14ac:dyDescent="0.2">
      <c r="A102">
        <v>1</v>
      </c>
      <c r="B102">
        <v>163</v>
      </c>
      <c r="C102">
        <v>72</v>
      </c>
      <c r="F102">
        <v>39</v>
      </c>
      <c r="G102">
        <v>1.222</v>
      </c>
      <c r="H102">
        <v>33</v>
      </c>
      <c r="I102">
        <v>1</v>
      </c>
    </row>
    <row r="103" spans="1:9" x14ac:dyDescent="0.2">
      <c r="A103">
        <v>1</v>
      </c>
      <c r="B103">
        <v>151</v>
      </c>
      <c r="C103">
        <v>60</v>
      </c>
      <c r="F103">
        <v>26.1</v>
      </c>
      <c r="G103">
        <v>0.17899999999999999</v>
      </c>
      <c r="H103">
        <v>22</v>
      </c>
      <c r="I103">
        <v>0</v>
      </c>
    </row>
    <row r="104" spans="1:9" x14ac:dyDescent="0.2">
      <c r="A104">
        <v>0</v>
      </c>
      <c r="B104">
        <v>125</v>
      </c>
      <c r="C104">
        <v>96</v>
      </c>
      <c r="F104">
        <v>22.5</v>
      </c>
      <c r="G104">
        <v>0.26200000000000001</v>
      </c>
      <c r="H104">
        <v>21</v>
      </c>
      <c r="I104">
        <v>0</v>
      </c>
    </row>
    <row r="105" spans="1:9" x14ac:dyDescent="0.2">
      <c r="A105">
        <v>1</v>
      </c>
      <c r="B105">
        <v>81</v>
      </c>
      <c r="C105">
        <v>72</v>
      </c>
      <c r="D105">
        <v>18</v>
      </c>
      <c r="E105">
        <v>40</v>
      </c>
      <c r="F105">
        <v>26.6</v>
      </c>
      <c r="G105">
        <v>0.28299999999999997</v>
      </c>
      <c r="H105">
        <v>24</v>
      </c>
      <c r="I105">
        <v>0</v>
      </c>
    </row>
    <row r="106" spans="1:9" x14ac:dyDescent="0.2">
      <c r="A106">
        <v>2</v>
      </c>
      <c r="B106">
        <v>85</v>
      </c>
      <c r="C106">
        <v>65</v>
      </c>
      <c r="F106">
        <v>39.6</v>
      </c>
      <c r="G106">
        <v>0.93</v>
      </c>
      <c r="H106">
        <v>27</v>
      </c>
      <c r="I106">
        <v>0</v>
      </c>
    </row>
    <row r="107" spans="1:9" x14ac:dyDescent="0.2">
      <c r="A107">
        <v>1</v>
      </c>
      <c r="B107">
        <v>126</v>
      </c>
      <c r="C107">
        <v>56</v>
      </c>
      <c r="D107">
        <v>29</v>
      </c>
      <c r="E107">
        <v>152</v>
      </c>
      <c r="F107">
        <v>28.7</v>
      </c>
      <c r="G107">
        <v>0.80100000000000005</v>
      </c>
      <c r="H107">
        <v>21</v>
      </c>
      <c r="I107">
        <v>0</v>
      </c>
    </row>
    <row r="108" spans="1:9" x14ac:dyDescent="0.2">
      <c r="A108">
        <v>1</v>
      </c>
      <c r="B108">
        <v>96</v>
      </c>
      <c r="C108">
        <v>122</v>
      </c>
      <c r="F108">
        <v>22.4</v>
      </c>
      <c r="G108">
        <v>0.20699999999999999</v>
      </c>
      <c r="H108">
        <v>27</v>
      </c>
      <c r="I108">
        <v>0</v>
      </c>
    </row>
    <row r="109" spans="1:9" x14ac:dyDescent="0.2">
      <c r="A109">
        <v>4</v>
      </c>
      <c r="B109">
        <v>144</v>
      </c>
      <c r="C109">
        <v>58</v>
      </c>
      <c r="D109">
        <v>28</v>
      </c>
      <c r="E109">
        <v>140</v>
      </c>
      <c r="F109">
        <v>29.5</v>
      </c>
      <c r="G109">
        <v>0.28699999999999998</v>
      </c>
      <c r="H109">
        <v>37</v>
      </c>
      <c r="I109">
        <v>0</v>
      </c>
    </row>
    <row r="110" spans="1:9" x14ac:dyDescent="0.2">
      <c r="A110">
        <v>3</v>
      </c>
      <c r="B110">
        <v>83</v>
      </c>
      <c r="C110">
        <v>58</v>
      </c>
      <c r="D110">
        <v>31</v>
      </c>
      <c r="E110">
        <v>18</v>
      </c>
      <c r="F110">
        <v>34.299999999999997</v>
      </c>
      <c r="G110">
        <v>0.33600000000000002</v>
      </c>
      <c r="H110">
        <v>25</v>
      </c>
      <c r="I110">
        <v>0</v>
      </c>
    </row>
    <row r="111" spans="1:9" x14ac:dyDescent="0.2">
      <c r="A111">
        <v>0</v>
      </c>
      <c r="B111">
        <v>95</v>
      </c>
      <c r="C111">
        <v>85</v>
      </c>
      <c r="D111">
        <v>25</v>
      </c>
      <c r="E111">
        <v>36</v>
      </c>
      <c r="F111">
        <v>37.4</v>
      </c>
      <c r="G111">
        <v>0.247</v>
      </c>
      <c r="H111">
        <v>24</v>
      </c>
      <c r="I111">
        <v>1</v>
      </c>
    </row>
    <row r="112" spans="1:9" x14ac:dyDescent="0.2">
      <c r="A112">
        <v>3</v>
      </c>
      <c r="B112">
        <v>171</v>
      </c>
      <c r="C112">
        <v>72</v>
      </c>
      <c r="D112">
        <v>33</v>
      </c>
      <c r="E112">
        <v>135</v>
      </c>
      <c r="F112">
        <v>33.299999999999997</v>
      </c>
      <c r="G112">
        <v>0.19900000000000001</v>
      </c>
      <c r="H112">
        <v>24</v>
      </c>
      <c r="I112">
        <v>1</v>
      </c>
    </row>
    <row r="113" spans="1:9" x14ac:dyDescent="0.2">
      <c r="A113">
        <v>8</v>
      </c>
      <c r="B113">
        <v>155</v>
      </c>
      <c r="C113">
        <v>62</v>
      </c>
      <c r="D113">
        <v>26</v>
      </c>
      <c r="E113">
        <v>495</v>
      </c>
      <c r="F113">
        <v>34</v>
      </c>
      <c r="G113">
        <v>0.54300000000000004</v>
      </c>
      <c r="H113">
        <v>46</v>
      </c>
      <c r="I113">
        <v>1</v>
      </c>
    </row>
    <row r="114" spans="1:9" x14ac:dyDescent="0.2">
      <c r="A114">
        <v>1</v>
      </c>
      <c r="B114">
        <v>89</v>
      </c>
      <c r="C114">
        <v>76</v>
      </c>
      <c r="D114">
        <v>34</v>
      </c>
      <c r="E114">
        <v>37</v>
      </c>
      <c r="F114">
        <v>31.2</v>
      </c>
      <c r="G114">
        <v>0.192</v>
      </c>
      <c r="H114">
        <v>23</v>
      </c>
      <c r="I114">
        <v>0</v>
      </c>
    </row>
    <row r="115" spans="1:9" x14ac:dyDescent="0.2">
      <c r="A115">
        <v>4</v>
      </c>
      <c r="B115">
        <v>76</v>
      </c>
      <c r="C115">
        <v>62</v>
      </c>
      <c r="F115">
        <v>34</v>
      </c>
      <c r="G115">
        <v>0.39100000000000001</v>
      </c>
      <c r="H115">
        <v>25</v>
      </c>
      <c r="I115">
        <v>0</v>
      </c>
    </row>
    <row r="116" spans="1:9" x14ac:dyDescent="0.2">
      <c r="A116">
        <v>7</v>
      </c>
      <c r="B116">
        <v>160</v>
      </c>
      <c r="C116">
        <v>54</v>
      </c>
      <c r="D116">
        <v>32</v>
      </c>
      <c r="E116">
        <v>175</v>
      </c>
      <c r="F116">
        <v>30.5</v>
      </c>
      <c r="G116">
        <v>0.58799999999999997</v>
      </c>
      <c r="H116">
        <v>39</v>
      </c>
      <c r="I116">
        <v>1</v>
      </c>
    </row>
    <row r="117" spans="1:9" x14ac:dyDescent="0.2">
      <c r="A117">
        <v>4</v>
      </c>
      <c r="B117">
        <v>146</v>
      </c>
      <c r="C117">
        <v>92</v>
      </c>
      <c r="F117">
        <v>31.2</v>
      </c>
      <c r="G117">
        <v>0.53900000000000003</v>
      </c>
      <c r="H117">
        <v>61</v>
      </c>
      <c r="I117">
        <v>1</v>
      </c>
    </row>
    <row r="118" spans="1:9" x14ac:dyDescent="0.2">
      <c r="A118">
        <v>5</v>
      </c>
      <c r="B118">
        <v>124</v>
      </c>
      <c r="C118">
        <v>74</v>
      </c>
      <c r="F118">
        <v>34</v>
      </c>
      <c r="G118">
        <v>0.22</v>
      </c>
      <c r="H118">
        <v>38</v>
      </c>
      <c r="I118">
        <v>1</v>
      </c>
    </row>
    <row r="119" spans="1:9" x14ac:dyDescent="0.2">
      <c r="A119">
        <v>5</v>
      </c>
      <c r="B119">
        <v>78</v>
      </c>
      <c r="C119">
        <v>48</v>
      </c>
      <c r="F119">
        <v>33.700000000000003</v>
      </c>
      <c r="G119">
        <v>0.65400000000000003</v>
      </c>
      <c r="H119">
        <v>25</v>
      </c>
      <c r="I119">
        <v>0</v>
      </c>
    </row>
    <row r="120" spans="1:9" x14ac:dyDescent="0.2">
      <c r="A120">
        <v>4</v>
      </c>
      <c r="B120">
        <v>97</v>
      </c>
      <c r="C120">
        <v>60</v>
      </c>
      <c r="D120">
        <v>23</v>
      </c>
      <c r="F120">
        <v>28.2</v>
      </c>
      <c r="G120">
        <v>0.443</v>
      </c>
      <c r="H120">
        <v>22</v>
      </c>
      <c r="I120">
        <v>0</v>
      </c>
    </row>
    <row r="121" spans="1:9" x14ac:dyDescent="0.2">
      <c r="A121">
        <v>4</v>
      </c>
      <c r="B121">
        <v>99</v>
      </c>
      <c r="C121">
        <v>76</v>
      </c>
      <c r="D121">
        <v>15</v>
      </c>
      <c r="E121">
        <v>51</v>
      </c>
      <c r="F121">
        <v>23.2</v>
      </c>
      <c r="G121">
        <v>0.223</v>
      </c>
      <c r="H121">
        <v>21</v>
      </c>
      <c r="I121">
        <v>0</v>
      </c>
    </row>
    <row r="122" spans="1:9" x14ac:dyDescent="0.2">
      <c r="A122">
        <v>0</v>
      </c>
      <c r="B122">
        <v>162</v>
      </c>
      <c r="C122">
        <v>76</v>
      </c>
      <c r="D122">
        <v>56</v>
      </c>
      <c r="E122">
        <v>100</v>
      </c>
      <c r="F122">
        <v>53.2</v>
      </c>
      <c r="G122">
        <v>0.75900000000000001</v>
      </c>
      <c r="H122">
        <v>25</v>
      </c>
      <c r="I122">
        <v>1</v>
      </c>
    </row>
    <row r="123" spans="1:9" x14ac:dyDescent="0.2">
      <c r="A123">
        <v>6</v>
      </c>
      <c r="B123">
        <v>111</v>
      </c>
      <c r="C123">
        <v>64</v>
      </c>
      <c r="D123">
        <v>39</v>
      </c>
      <c r="F123">
        <v>34.200000000000003</v>
      </c>
      <c r="G123">
        <v>0.26</v>
      </c>
      <c r="H123">
        <v>24</v>
      </c>
      <c r="I123">
        <v>0</v>
      </c>
    </row>
    <row r="124" spans="1:9" x14ac:dyDescent="0.2">
      <c r="A124">
        <v>2</v>
      </c>
      <c r="B124">
        <v>107</v>
      </c>
      <c r="C124">
        <v>74</v>
      </c>
      <c r="D124">
        <v>30</v>
      </c>
      <c r="E124">
        <v>100</v>
      </c>
      <c r="F124">
        <v>33.6</v>
      </c>
      <c r="G124">
        <v>0.40400000000000003</v>
      </c>
      <c r="H124">
        <v>23</v>
      </c>
      <c r="I124">
        <v>0</v>
      </c>
    </row>
    <row r="125" spans="1:9" x14ac:dyDescent="0.2">
      <c r="A125">
        <v>5</v>
      </c>
      <c r="B125">
        <v>132</v>
      </c>
      <c r="C125">
        <v>80</v>
      </c>
      <c r="F125">
        <v>26.8</v>
      </c>
      <c r="G125">
        <v>0.186</v>
      </c>
      <c r="H125">
        <v>69</v>
      </c>
      <c r="I125">
        <v>0</v>
      </c>
    </row>
    <row r="126" spans="1:9" x14ac:dyDescent="0.2">
      <c r="A126">
        <v>0</v>
      </c>
      <c r="B126">
        <v>113</v>
      </c>
      <c r="C126">
        <v>76</v>
      </c>
      <c r="F126">
        <v>33.299999999999997</v>
      </c>
      <c r="G126">
        <v>0.27800000000000002</v>
      </c>
      <c r="H126">
        <v>23</v>
      </c>
      <c r="I126">
        <v>1</v>
      </c>
    </row>
    <row r="127" spans="1:9" x14ac:dyDescent="0.2">
      <c r="A127">
        <v>1</v>
      </c>
      <c r="B127">
        <v>88</v>
      </c>
      <c r="C127">
        <v>30</v>
      </c>
      <c r="D127">
        <v>42</v>
      </c>
      <c r="E127">
        <v>99</v>
      </c>
      <c r="F127">
        <v>55</v>
      </c>
      <c r="G127">
        <v>0.496</v>
      </c>
      <c r="H127">
        <v>26</v>
      </c>
      <c r="I127">
        <v>1</v>
      </c>
    </row>
    <row r="128" spans="1:9" x14ac:dyDescent="0.2">
      <c r="A128">
        <v>3</v>
      </c>
      <c r="B128">
        <v>120</v>
      </c>
      <c r="C128">
        <v>70</v>
      </c>
      <c r="D128">
        <v>30</v>
      </c>
      <c r="E128">
        <v>135</v>
      </c>
      <c r="F128">
        <v>42.9</v>
      </c>
      <c r="G128">
        <v>0.45200000000000001</v>
      </c>
      <c r="H128">
        <v>30</v>
      </c>
      <c r="I128">
        <v>0</v>
      </c>
    </row>
    <row r="129" spans="1:9" x14ac:dyDescent="0.2">
      <c r="A129">
        <v>1</v>
      </c>
      <c r="B129">
        <v>118</v>
      </c>
      <c r="C129">
        <v>58</v>
      </c>
      <c r="D129">
        <v>36</v>
      </c>
      <c r="E129">
        <v>94</v>
      </c>
      <c r="F129">
        <v>33.299999999999997</v>
      </c>
      <c r="G129">
        <v>0.26100000000000001</v>
      </c>
      <c r="H129">
        <v>23</v>
      </c>
      <c r="I129">
        <v>0</v>
      </c>
    </row>
    <row r="130" spans="1:9" x14ac:dyDescent="0.2">
      <c r="A130">
        <v>1</v>
      </c>
      <c r="B130">
        <v>117</v>
      </c>
      <c r="C130">
        <v>88</v>
      </c>
      <c r="D130">
        <v>24</v>
      </c>
      <c r="E130">
        <v>145</v>
      </c>
      <c r="F130">
        <v>34.5</v>
      </c>
      <c r="G130">
        <v>0.40300000000000002</v>
      </c>
      <c r="H130">
        <v>40</v>
      </c>
      <c r="I130">
        <v>1</v>
      </c>
    </row>
    <row r="131" spans="1:9" x14ac:dyDescent="0.2">
      <c r="A131">
        <v>0</v>
      </c>
      <c r="B131">
        <v>105</v>
      </c>
      <c r="C131">
        <v>84</v>
      </c>
      <c r="F131">
        <v>27.9</v>
      </c>
      <c r="G131">
        <v>0.74099999999999999</v>
      </c>
      <c r="H131">
        <v>62</v>
      </c>
      <c r="I131">
        <v>1</v>
      </c>
    </row>
    <row r="132" spans="1:9" x14ac:dyDescent="0.2">
      <c r="A132">
        <v>4</v>
      </c>
      <c r="B132">
        <v>173</v>
      </c>
      <c r="C132">
        <v>70</v>
      </c>
      <c r="D132">
        <v>14</v>
      </c>
      <c r="E132">
        <v>168</v>
      </c>
      <c r="F132">
        <v>29.7</v>
      </c>
      <c r="G132">
        <v>0.36099999999999999</v>
      </c>
      <c r="H132">
        <v>33</v>
      </c>
      <c r="I132">
        <v>1</v>
      </c>
    </row>
    <row r="133" spans="1:9" x14ac:dyDescent="0.2">
      <c r="A133">
        <v>9</v>
      </c>
      <c r="B133">
        <v>122</v>
      </c>
      <c r="C133">
        <v>56</v>
      </c>
      <c r="F133">
        <v>33.299999999999997</v>
      </c>
      <c r="G133">
        <v>1.1140000000000001</v>
      </c>
      <c r="H133">
        <v>33</v>
      </c>
      <c r="I133">
        <v>1</v>
      </c>
    </row>
    <row r="134" spans="1:9" x14ac:dyDescent="0.2">
      <c r="A134">
        <v>3</v>
      </c>
      <c r="B134">
        <v>170</v>
      </c>
      <c r="C134">
        <v>64</v>
      </c>
      <c r="D134">
        <v>37</v>
      </c>
      <c r="E134">
        <v>225</v>
      </c>
      <c r="F134">
        <v>34.5</v>
      </c>
      <c r="G134">
        <v>0.35599999999999998</v>
      </c>
      <c r="H134">
        <v>30</v>
      </c>
      <c r="I134">
        <v>1</v>
      </c>
    </row>
    <row r="135" spans="1:9" x14ac:dyDescent="0.2">
      <c r="A135">
        <v>8</v>
      </c>
      <c r="B135">
        <v>84</v>
      </c>
      <c r="C135">
        <v>74</v>
      </c>
      <c r="D135">
        <v>31</v>
      </c>
      <c r="F135">
        <v>38.299999999999997</v>
      </c>
      <c r="G135">
        <v>0.45700000000000002</v>
      </c>
      <c r="H135">
        <v>39</v>
      </c>
      <c r="I135">
        <v>0</v>
      </c>
    </row>
    <row r="136" spans="1:9" x14ac:dyDescent="0.2">
      <c r="A136">
        <v>2</v>
      </c>
      <c r="B136">
        <v>96</v>
      </c>
      <c r="C136">
        <v>68</v>
      </c>
      <c r="D136">
        <v>13</v>
      </c>
      <c r="E136">
        <v>49</v>
      </c>
      <c r="F136">
        <v>21.1</v>
      </c>
      <c r="G136">
        <v>0.64700000000000002</v>
      </c>
      <c r="H136">
        <v>26</v>
      </c>
      <c r="I136">
        <v>0</v>
      </c>
    </row>
    <row r="137" spans="1:9" x14ac:dyDescent="0.2">
      <c r="A137">
        <v>2</v>
      </c>
      <c r="B137">
        <v>125</v>
      </c>
      <c r="C137">
        <v>60</v>
      </c>
      <c r="D137">
        <v>20</v>
      </c>
      <c r="E137">
        <v>140</v>
      </c>
      <c r="F137">
        <v>33.799999999999997</v>
      </c>
      <c r="G137">
        <v>8.7999999999999995E-2</v>
      </c>
      <c r="H137">
        <v>31</v>
      </c>
      <c r="I137">
        <v>0</v>
      </c>
    </row>
    <row r="138" spans="1:9" x14ac:dyDescent="0.2">
      <c r="A138">
        <v>0</v>
      </c>
      <c r="B138">
        <v>100</v>
      </c>
      <c r="C138">
        <v>70</v>
      </c>
      <c r="D138">
        <v>26</v>
      </c>
      <c r="E138">
        <v>50</v>
      </c>
      <c r="F138">
        <v>30.8</v>
      </c>
      <c r="G138">
        <v>0.59699999999999998</v>
      </c>
      <c r="H138">
        <v>21</v>
      </c>
      <c r="I138">
        <v>0</v>
      </c>
    </row>
    <row r="139" spans="1:9" x14ac:dyDescent="0.2">
      <c r="A139">
        <v>0</v>
      </c>
      <c r="B139">
        <v>93</v>
      </c>
      <c r="C139">
        <v>60</v>
      </c>
      <c r="D139">
        <v>25</v>
      </c>
      <c r="E139">
        <v>92</v>
      </c>
      <c r="F139">
        <v>28.7</v>
      </c>
      <c r="G139">
        <v>0.53200000000000003</v>
      </c>
      <c r="H139">
        <v>22</v>
      </c>
      <c r="I139">
        <v>0</v>
      </c>
    </row>
    <row r="140" spans="1:9" x14ac:dyDescent="0.2">
      <c r="A140">
        <v>0</v>
      </c>
      <c r="B140">
        <v>129</v>
      </c>
      <c r="C140">
        <v>80</v>
      </c>
      <c r="F140">
        <v>31.2</v>
      </c>
      <c r="G140">
        <v>0.70299999999999996</v>
      </c>
      <c r="H140">
        <v>29</v>
      </c>
      <c r="I140">
        <v>0</v>
      </c>
    </row>
    <row r="141" spans="1:9" x14ac:dyDescent="0.2">
      <c r="A141">
        <v>5</v>
      </c>
      <c r="B141">
        <v>105</v>
      </c>
      <c r="C141">
        <v>72</v>
      </c>
      <c r="D141">
        <v>29</v>
      </c>
      <c r="E141">
        <v>325</v>
      </c>
      <c r="F141">
        <v>36.9</v>
      </c>
      <c r="G141">
        <v>0.159</v>
      </c>
      <c r="H141">
        <v>28</v>
      </c>
      <c r="I141">
        <v>0</v>
      </c>
    </row>
    <row r="142" spans="1:9" x14ac:dyDescent="0.2">
      <c r="A142">
        <v>3</v>
      </c>
      <c r="B142">
        <v>128</v>
      </c>
      <c r="C142">
        <v>78</v>
      </c>
      <c r="F142">
        <v>21.1</v>
      </c>
      <c r="G142">
        <v>0.26800000000000002</v>
      </c>
      <c r="H142">
        <v>55</v>
      </c>
      <c r="I142">
        <v>0</v>
      </c>
    </row>
    <row r="143" spans="1:9" x14ac:dyDescent="0.2">
      <c r="A143">
        <v>5</v>
      </c>
      <c r="B143">
        <v>106</v>
      </c>
      <c r="C143">
        <v>82</v>
      </c>
      <c r="D143">
        <v>30</v>
      </c>
      <c r="F143">
        <v>39.5</v>
      </c>
      <c r="G143">
        <v>0.28599999999999998</v>
      </c>
      <c r="H143">
        <v>38</v>
      </c>
      <c r="I143">
        <v>0</v>
      </c>
    </row>
    <row r="144" spans="1:9" x14ac:dyDescent="0.2">
      <c r="A144">
        <v>2</v>
      </c>
      <c r="B144">
        <v>108</v>
      </c>
      <c r="C144">
        <v>52</v>
      </c>
      <c r="D144">
        <v>26</v>
      </c>
      <c r="E144">
        <v>63</v>
      </c>
      <c r="F144">
        <v>32.5</v>
      </c>
      <c r="G144">
        <v>0.318</v>
      </c>
      <c r="H144">
        <v>22</v>
      </c>
      <c r="I144">
        <v>0</v>
      </c>
    </row>
    <row r="145" spans="1:9" x14ac:dyDescent="0.2">
      <c r="A145">
        <v>10</v>
      </c>
      <c r="B145">
        <v>108</v>
      </c>
      <c r="C145">
        <v>66</v>
      </c>
      <c r="F145">
        <v>32.4</v>
      </c>
      <c r="G145">
        <v>0.27200000000000002</v>
      </c>
      <c r="H145">
        <v>42</v>
      </c>
      <c r="I145">
        <v>1</v>
      </c>
    </row>
    <row r="146" spans="1:9" x14ac:dyDescent="0.2">
      <c r="A146">
        <v>4</v>
      </c>
      <c r="B146">
        <v>154</v>
      </c>
      <c r="C146">
        <v>62</v>
      </c>
      <c r="D146">
        <v>31</v>
      </c>
      <c r="E146">
        <v>284</v>
      </c>
      <c r="F146">
        <v>32.799999999999997</v>
      </c>
      <c r="G146">
        <v>0.23699999999999999</v>
      </c>
      <c r="H146">
        <v>23</v>
      </c>
      <c r="I146">
        <v>0</v>
      </c>
    </row>
    <row r="147" spans="1:9" hidden="1" x14ac:dyDescent="0.2">
      <c r="A147">
        <v>0</v>
      </c>
      <c r="B147">
        <v>102</v>
      </c>
      <c r="C147">
        <v>75</v>
      </c>
      <c r="D147">
        <v>23</v>
      </c>
      <c r="G147">
        <v>0.57199999999999995</v>
      </c>
      <c r="H147">
        <v>21</v>
      </c>
      <c r="I147">
        <v>0</v>
      </c>
    </row>
    <row r="148" spans="1:9" x14ac:dyDescent="0.2">
      <c r="A148">
        <v>9</v>
      </c>
      <c r="B148">
        <v>57</v>
      </c>
      <c r="C148">
        <v>80</v>
      </c>
      <c r="D148">
        <v>37</v>
      </c>
      <c r="F148">
        <v>32.799999999999997</v>
      </c>
      <c r="G148">
        <v>9.6000000000000002E-2</v>
      </c>
      <c r="H148">
        <v>41</v>
      </c>
      <c r="I148">
        <v>0</v>
      </c>
    </row>
    <row r="149" spans="1:9" x14ac:dyDescent="0.2">
      <c r="A149">
        <v>2</v>
      </c>
      <c r="B149">
        <v>106</v>
      </c>
      <c r="C149">
        <v>64</v>
      </c>
      <c r="D149">
        <v>35</v>
      </c>
      <c r="E149">
        <v>119</v>
      </c>
      <c r="F149">
        <v>30.5</v>
      </c>
      <c r="G149">
        <v>1.4</v>
      </c>
      <c r="H149">
        <v>34</v>
      </c>
      <c r="I149">
        <v>0</v>
      </c>
    </row>
    <row r="150" spans="1:9" x14ac:dyDescent="0.2">
      <c r="A150">
        <v>5</v>
      </c>
      <c r="B150">
        <v>147</v>
      </c>
      <c r="C150">
        <v>78</v>
      </c>
      <c r="F150">
        <v>33.700000000000003</v>
      </c>
      <c r="G150">
        <v>0.218</v>
      </c>
      <c r="H150">
        <v>65</v>
      </c>
      <c r="I150">
        <v>0</v>
      </c>
    </row>
    <row r="151" spans="1:9" x14ac:dyDescent="0.2">
      <c r="A151">
        <v>2</v>
      </c>
      <c r="B151">
        <v>90</v>
      </c>
      <c r="C151">
        <v>70</v>
      </c>
      <c r="D151">
        <v>17</v>
      </c>
      <c r="F151">
        <v>27.3</v>
      </c>
      <c r="G151">
        <v>8.5000000000000006E-2</v>
      </c>
      <c r="H151">
        <v>22</v>
      </c>
      <c r="I151">
        <v>0</v>
      </c>
    </row>
    <row r="152" spans="1:9" x14ac:dyDescent="0.2">
      <c r="A152">
        <v>1</v>
      </c>
      <c r="B152">
        <v>136</v>
      </c>
      <c r="C152">
        <v>74</v>
      </c>
      <c r="D152">
        <v>50</v>
      </c>
      <c r="E152">
        <v>204</v>
      </c>
      <c r="F152">
        <v>37.4</v>
      </c>
      <c r="G152">
        <v>0.39900000000000002</v>
      </c>
      <c r="H152">
        <v>24</v>
      </c>
      <c r="I152">
        <v>0</v>
      </c>
    </row>
    <row r="153" spans="1:9" x14ac:dyDescent="0.2">
      <c r="A153">
        <v>4</v>
      </c>
      <c r="B153">
        <v>114</v>
      </c>
      <c r="C153">
        <v>65</v>
      </c>
      <c r="F153">
        <v>21.9</v>
      </c>
      <c r="G153">
        <v>0.432</v>
      </c>
      <c r="H153">
        <v>37</v>
      </c>
      <c r="I153">
        <v>0</v>
      </c>
    </row>
    <row r="154" spans="1:9" x14ac:dyDescent="0.2">
      <c r="A154">
        <v>9</v>
      </c>
      <c r="B154">
        <v>156</v>
      </c>
      <c r="C154">
        <v>86</v>
      </c>
      <c r="D154">
        <v>28</v>
      </c>
      <c r="E154">
        <v>155</v>
      </c>
      <c r="F154">
        <v>34.299999999999997</v>
      </c>
      <c r="G154">
        <v>1.1890000000000001</v>
      </c>
      <c r="H154">
        <v>42</v>
      </c>
      <c r="I154">
        <v>1</v>
      </c>
    </row>
    <row r="155" spans="1:9" x14ac:dyDescent="0.2">
      <c r="A155">
        <v>1</v>
      </c>
      <c r="B155">
        <v>153</v>
      </c>
      <c r="C155">
        <v>82</v>
      </c>
      <c r="D155">
        <v>42</v>
      </c>
      <c r="E155">
        <v>485</v>
      </c>
      <c r="F155">
        <v>40.6</v>
      </c>
      <c r="G155">
        <v>0.68700000000000006</v>
      </c>
      <c r="H155">
        <v>23</v>
      </c>
      <c r="I155">
        <v>0</v>
      </c>
    </row>
    <row r="156" spans="1:9" x14ac:dyDescent="0.2">
      <c r="A156">
        <v>8</v>
      </c>
      <c r="B156">
        <v>188</v>
      </c>
      <c r="C156">
        <v>78</v>
      </c>
      <c r="F156">
        <v>47.9</v>
      </c>
      <c r="G156">
        <v>0.13700000000000001</v>
      </c>
      <c r="H156">
        <v>43</v>
      </c>
      <c r="I156">
        <v>1</v>
      </c>
    </row>
    <row r="157" spans="1:9" x14ac:dyDescent="0.2">
      <c r="A157">
        <v>7</v>
      </c>
      <c r="B157">
        <v>152</v>
      </c>
      <c r="C157">
        <v>88</v>
      </c>
      <c r="D157">
        <v>44</v>
      </c>
      <c r="F157">
        <v>50</v>
      </c>
      <c r="G157">
        <v>0.33700000000000002</v>
      </c>
      <c r="H157">
        <v>36</v>
      </c>
      <c r="I157">
        <v>1</v>
      </c>
    </row>
    <row r="158" spans="1:9" x14ac:dyDescent="0.2">
      <c r="A158">
        <v>2</v>
      </c>
      <c r="B158">
        <v>99</v>
      </c>
      <c r="C158">
        <v>52</v>
      </c>
      <c r="D158">
        <v>15</v>
      </c>
      <c r="E158">
        <v>94</v>
      </c>
      <c r="F158">
        <v>24.6</v>
      </c>
      <c r="G158">
        <v>0.63700000000000001</v>
      </c>
      <c r="H158">
        <v>21</v>
      </c>
      <c r="I158">
        <v>0</v>
      </c>
    </row>
    <row r="159" spans="1:9" x14ac:dyDescent="0.2">
      <c r="A159">
        <v>1</v>
      </c>
      <c r="B159">
        <v>109</v>
      </c>
      <c r="C159">
        <v>56</v>
      </c>
      <c r="D159">
        <v>21</v>
      </c>
      <c r="E159">
        <v>135</v>
      </c>
      <c r="F159">
        <v>25.2</v>
      </c>
      <c r="G159">
        <v>0.83299999999999996</v>
      </c>
      <c r="H159">
        <v>23</v>
      </c>
      <c r="I159">
        <v>0</v>
      </c>
    </row>
    <row r="160" spans="1:9" x14ac:dyDescent="0.2">
      <c r="A160">
        <v>2</v>
      </c>
      <c r="B160">
        <v>88</v>
      </c>
      <c r="C160">
        <v>74</v>
      </c>
      <c r="D160">
        <v>19</v>
      </c>
      <c r="E160">
        <v>53</v>
      </c>
      <c r="F160">
        <v>29</v>
      </c>
      <c r="G160">
        <v>0.22900000000000001</v>
      </c>
      <c r="H160">
        <v>22</v>
      </c>
      <c r="I160">
        <v>0</v>
      </c>
    </row>
    <row r="161" spans="1:9" x14ac:dyDescent="0.2">
      <c r="A161">
        <v>17</v>
      </c>
      <c r="B161">
        <v>163</v>
      </c>
      <c r="C161">
        <v>72</v>
      </c>
      <c r="D161">
        <v>41</v>
      </c>
      <c r="E161">
        <v>114</v>
      </c>
      <c r="F161">
        <v>40.9</v>
      </c>
      <c r="G161">
        <v>0.81699999999999995</v>
      </c>
      <c r="H161">
        <v>47</v>
      </c>
      <c r="I161">
        <v>1</v>
      </c>
    </row>
    <row r="162" spans="1:9" x14ac:dyDescent="0.2">
      <c r="A162">
        <v>4</v>
      </c>
      <c r="B162">
        <v>151</v>
      </c>
      <c r="C162">
        <v>90</v>
      </c>
      <c r="D162">
        <v>38</v>
      </c>
      <c r="F162">
        <v>29.7</v>
      </c>
      <c r="G162">
        <v>0.29399999999999998</v>
      </c>
      <c r="H162">
        <v>36</v>
      </c>
      <c r="I162">
        <v>0</v>
      </c>
    </row>
    <row r="163" spans="1:9" x14ac:dyDescent="0.2">
      <c r="A163">
        <v>7</v>
      </c>
      <c r="B163">
        <v>102</v>
      </c>
      <c r="C163">
        <v>74</v>
      </c>
      <c r="D163">
        <v>40</v>
      </c>
      <c r="E163">
        <v>105</v>
      </c>
      <c r="F163">
        <v>37.200000000000003</v>
      </c>
      <c r="G163">
        <v>0.20399999999999999</v>
      </c>
      <c r="H163">
        <v>45</v>
      </c>
      <c r="I163">
        <v>0</v>
      </c>
    </row>
    <row r="164" spans="1:9" x14ac:dyDescent="0.2">
      <c r="A164">
        <v>0</v>
      </c>
      <c r="B164">
        <v>114</v>
      </c>
      <c r="C164">
        <v>80</v>
      </c>
      <c r="D164">
        <v>34</v>
      </c>
      <c r="E164">
        <v>285</v>
      </c>
      <c r="F164">
        <v>44.2</v>
      </c>
      <c r="G164">
        <v>0.16700000000000001</v>
      </c>
      <c r="H164">
        <v>27</v>
      </c>
      <c r="I164">
        <v>0</v>
      </c>
    </row>
    <row r="165" spans="1:9" x14ac:dyDescent="0.2">
      <c r="A165">
        <v>2</v>
      </c>
      <c r="B165">
        <v>100</v>
      </c>
      <c r="C165">
        <v>64</v>
      </c>
      <c r="D165">
        <v>23</v>
      </c>
      <c r="F165">
        <v>29.7</v>
      </c>
      <c r="G165">
        <v>0.36799999999999999</v>
      </c>
      <c r="H165">
        <v>21</v>
      </c>
      <c r="I165">
        <v>0</v>
      </c>
    </row>
    <row r="166" spans="1:9" x14ac:dyDescent="0.2">
      <c r="A166">
        <v>0</v>
      </c>
      <c r="B166">
        <v>131</v>
      </c>
      <c r="C166">
        <v>88</v>
      </c>
      <c r="F166">
        <v>31.6</v>
      </c>
      <c r="G166">
        <v>0.74299999999999999</v>
      </c>
      <c r="H166">
        <v>32</v>
      </c>
      <c r="I166">
        <v>1</v>
      </c>
    </row>
    <row r="167" spans="1:9" x14ac:dyDescent="0.2">
      <c r="A167">
        <v>6</v>
      </c>
      <c r="B167">
        <v>104</v>
      </c>
      <c r="C167">
        <v>74</v>
      </c>
      <c r="D167">
        <v>18</v>
      </c>
      <c r="E167">
        <v>156</v>
      </c>
      <c r="F167">
        <v>29.9</v>
      </c>
      <c r="G167">
        <v>0.72199999999999998</v>
      </c>
      <c r="H167">
        <v>41</v>
      </c>
      <c r="I167">
        <v>1</v>
      </c>
    </row>
    <row r="168" spans="1:9" x14ac:dyDescent="0.2">
      <c r="A168">
        <v>3</v>
      </c>
      <c r="B168">
        <v>148</v>
      </c>
      <c r="C168">
        <v>66</v>
      </c>
      <c r="D168">
        <v>25</v>
      </c>
      <c r="F168">
        <v>32.5</v>
      </c>
      <c r="G168">
        <v>0.25600000000000001</v>
      </c>
      <c r="H168">
        <v>22</v>
      </c>
      <c r="I168">
        <v>0</v>
      </c>
    </row>
    <row r="169" spans="1:9" x14ac:dyDescent="0.2">
      <c r="A169">
        <v>4</v>
      </c>
      <c r="B169">
        <v>120</v>
      </c>
      <c r="C169">
        <v>68</v>
      </c>
      <c r="F169">
        <v>29.6</v>
      </c>
      <c r="G169">
        <v>0.70899999999999996</v>
      </c>
      <c r="H169">
        <v>34</v>
      </c>
      <c r="I169">
        <v>0</v>
      </c>
    </row>
    <row r="170" spans="1:9" x14ac:dyDescent="0.2">
      <c r="A170">
        <v>4</v>
      </c>
      <c r="B170">
        <v>110</v>
      </c>
      <c r="C170">
        <v>66</v>
      </c>
      <c r="F170">
        <v>31.9</v>
      </c>
      <c r="G170">
        <v>0.47099999999999997</v>
      </c>
      <c r="H170">
        <v>29</v>
      </c>
      <c r="I170">
        <v>0</v>
      </c>
    </row>
    <row r="171" spans="1:9" x14ac:dyDescent="0.2">
      <c r="A171">
        <v>3</v>
      </c>
      <c r="B171">
        <v>111</v>
      </c>
      <c r="C171">
        <v>90</v>
      </c>
      <c r="D171">
        <v>12</v>
      </c>
      <c r="E171">
        <v>78</v>
      </c>
      <c r="F171">
        <v>28.4</v>
      </c>
      <c r="G171">
        <v>0.495</v>
      </c>
      <c r="H171">
        <v>29</v>
      </c>
      <c r="I171">
        <v>0</v>
      </c>
    </row>
    <row r="172" spans="1:9" x14ac:dyDescent="0.2">
      <c r="A172">
        <v>6</v>
      </c>
      <c r="B172">
        <v>102</v>
      </c>
      <c r="C172">
        <v>82</v>
      </c>
      <c r="F172">
        <v>30.8</v>
      </c>
      <c r="G172">
        <v>0.18</v>
      </c>
      <c r="H172">
        <v>36</v>
      </c>
      <c r="I172">
        <v>1</v>
      </c>
    </row>
    <row r="173" spans="1:9" x14ac:dyDescent="0.2">
      <c r="A173">
        <v>6</v>
      </c>
      <c r="B173">
        <v>134</v>
      </c>
      <c r="C173">
        <v>70</v>
      </c>
      <c r="D173">
        <v>23</v>
      </c>
      <c r="E173">
        <v>130</v>
      </c>
      <c r="F173">
        <v>35.4</v>
      </c>
      <c r="G173">
        <v>0.54200000000000004</v>
      </c>
      <c r="H173">
        <v>29</v>
      </c>
      <c r="I173">
        <v>1</v>
      </c>
    </row>
    <row r="174" spans="1:9" x14ac:dyDescent="0.2">
      <c r="A174">
        <v>2</v>
      </c>
      <c r="B174">
        <v>87</v>
      </c>
      <c r="D174">
        <v>23</v>
      </c>
      <c r="F174">
        <v>28.9</v>
      </c>
      <c r="G174">
        <v>0.77300000000000002</v>
      </c>
      <c r="H174">
        <v>25</v>
      </c>
      <c r="I174">
        <v>0</v>
      </c>
    </row>
    <row r="175" spans="1:9" x14ac:dyDescent="0.2">
      <c r="A175">
        <v>1</v>
      </c>
      <c r="B175">
        <v>79</v>
      </c>
      <c r="C175">
        <v>60</v>
      </c>
      <c r="D175">
        <v>42</v>
      </c>
      <c r="E175">
        <v>48</v>
      </c>
      <c r="F175">
        <v>43.5</v>
      </c>
      <c r="G175">
        <v>0.67800000000000005</v>
      </c>
      <c r="H175">
        <v>23</v>
      </c>
      <c r="I175">
        <v>0</v>
      </c>
    </row>
    <row r="176" spans="1:9" x14ac:dyDescent="0.2">
      <c r="A176">
        <v>2</v>
      </c>
      <c r="B176">
        <v>75</v>
      </c>
      <c r="C176">
        <v>64</v>
      </c>
      <c r="D176">
        <v>24</v>
      </c>
      <c r="E176">
        <v>55</v>
      </c>
      <c r="F176">
        <v>29.7</v>
      </c>
      <c r="G176">
        <v>0.37</v>
      </c>
      <c r="H176">
        <v>33</v>
      </c>
      <c r="I176">
        <v>0</v>
      </c>
    </row>
    <row r="177" spans="1:9" x14ac:dyDescent="0.2">
      <c r="A177">
        <v>8</v>
      </c>
      <c r="B177">
        <v>179</v>
      </c>
      <c r="C177">
        <v>72</v>
      </c>
      <c r="D177">
        <v>42</v>
      </c>
      <c r="E177">
        <v>130</v>
      </c>
      <c r="F177">
        <v>32.700000000000003</v>
      </c>
      <c r="G177">
        <v>0.71899999999999997</v>
      </c>
      <c r="H177">
        <v>36</v>
      </c>
      <c r="I177">
        <v>1</v>
      </c>
    </row>
    <row r="178" spans="1:9" x14ac:dyDescent="0.2">
      <c r="A178">
        <v>6</v>
      </c>
      <c r="B178">
        <v>85</v>
      </c>
      <c r="C178">
        <v>78</v>
      </c>
      <c r="F178">
        <v>31.2</v>
      </c>
      <c r="G178">
        <v>0.38200000000000001</v>
      </c>
      <c r="H178">
        <v>42</v>
      </c>
      <c r="I178">
        <v>0</v>
      </c>
    </row>
    <row r="179" spans="1:9" x14ac:dyDescent="0.2">
      <c r="A179">
        <v>0</v>
      </c>
      <c r="B179">
        <v>129</v>
      </c>
      <c r="C179">
        <v>110</v>
      </c>
      <c r="D179">
        <v>46</v>
      </c>
      <c r="E179">
        <v>130</v>
      </c>
      <c r="F179">
        <v>67.099999999999994</v>
      </c>
      <c r="G179">
        <v>0.31900000000000001</v>
      </c>
      <c r="H179">
        <v>26</v>
      </c>
      <c r="I179">
        <v>1</v>
      </c>
    </row>
    <row r="180" spans="1:9" x14ac:dyDescent="0.2">
      <c r="A180">
        <v>5</v>
      </c>
      <c r="B180">
        <v>143</v>
      </c>
      <c r="C180">
        <v>78</v>
      </c>
      <c r="F180">
        <v>45</v>
      </c>
      <c r="G180">
        <v>0.19</v>
      </c>
      <c r="H180">
        <v>47</v>
      </c>
      <c r="I180">
        <v>0</v>
      </c>
    </row>
    <row r="181" spans="1:9" x14ac:dyDescent="0.2">
      <c r="A181">
        <v>5</v>
      </c>
      <c r="B181">
        <v>130</v>
      </c>
      <c r="C181">
        <v>82</v>
      </c>
      <c r="F181">
        <v>39.1</v>
      </c>
      <c r="G181">
        <v>0.95599999999999996</v>
      </c>
      <c r="H181">
        <v>37</v>
      </c>
      <c r="I181">
        <v>1</v>
      </c>
    </row>
    <row r="182" spans="1:9" x14ac:dyDescent="0.2">
      <c r="A182">
        <v>6</v>
      </c>
      <c r="B182">
        <v>87</v>
      </c>
      <c r="C182">
        <v>80</v>
      </c>
      <c r="F182">
        <v>23.2</v>
      </c>
      <c r="G182">
        <v>8.4000000000000005E-2</v>
      </c>
      <c r="H182">
        <v>32</v>
      </c>
      <c r="I182">
        <v>0</v>
      </c>
    </row>
    <row r="183" spans="1:9" x14ac:dyDescent="0.2">
      <c r="A183">
        <v>0</v>
      </c>
      <c r="B183">
        <v>119</v>
      </c>
      <c r="C183">
        <v>64</v>
      </c>
      <c r="D183">
        <v>18</v>
      </c>
      <c r="E183">
        <v>92</v>
      </c>
      <c r="F183">
        <v>34.9</v>
      </c>
      <c r="G183">
        <v>0.72499999999999998</v>
      </c>
      <c r="H183">
        <v>23</v>
      </c>
      <c r="I183">
        <v>0</v>
      </c>
    </row>
    <row r="184" spans="1:9" x14ac:dyDescent="0.2">
      <c r="A184">
        <v>1</v>
      </c>
      <c r="C184">
        <v>74</v>
      </c>
      <c r="D184">
        <v>20</v>
      </c>
      <c r="E184">
        <v>23</v>
      </c>
      <c r="F184">
        <v>27.7</v>
      </c>
      <c r="G184">
        <v>0.29899999999999999</v>
      </c>
      <c r="H184">
        <v>21</v>
      </c>
      <c r="I184">
        <v>0</v>
      </c>
    </row>
    <row r="185" spans="1:9" x14ac:dyDescent="0.2">
      <c r="A185">
        <v>5</v>
      </c>
      <c r="B185">
        <v>73</v>
      </c>
      <c r="C185">
        <v>60</v>
      </c>
      <c r="F185">
        <v>26.8</v>
      </c>
      <c r="G185">
        <v>0.26800000000000002</v>
      </c>
      <c r="H185">
        <v>27</v>
      </c>
      <c r="I185">
        <v>0</v>
      </c>
    </row>
    <row r="186" spans="1:9" x14ac:dyDescent="0.2">
      <c r="A186">
        <v>4</v>
      </c>
      <c r="B186">
        <v>141</v>
      </c>
      <c r="C186">
        <v>74</v>
      </c>
      <c r="F186">
        <v>27.6</v>
      </c>
      <c r="G186">
        <v>0.24399999999999999</v>
      </c>
      <c r="H186">
        <v>40</v>
      </c>
      <c r="I186">
        <v>0</v>
      </c>
    </row>
    <row r="187" spans="1:9" x14ac:dyDescent="0.2">
      <c r="A187">
        <v>7</v>
      </c>
      <c r="B187">
        <v>194</v>
      </c>
      <c r="C187">
        <v>68</v>
      </c>
      <c r="D187">
        <v>28</v>
      </c>
      <c r="F187">
        <v>35.9</v>
      </c>
      <c r="G187">
        <v>0.745</v>
      </c>
      <c r="H187">
        <v>41</v>
      </c>
      <c r="I187">
        <v>1</v>
      </c>
    </row>
    <row r="188" spans="1:9" x14ac:dyDescent="0.2">
      <c r="A188">
        <v>8</v>
      </c>
      <c r="B188">
        <v>181</v>
      </c>
      <c r="C188">
        <v>68</v>
      </c>
      <c r="D188">
        <v>36</v>
      </c>
      <c r="E188">
        <v>495</v>
      </c>
      <c r="F188">
        <v>30.1</v>
      </c>
      <c r="G188">
        <v>0.61499999999999999</v>
      </c>
      <c r="H188">
        <v>60</v>
      </c>
      <c r="I188">
        <v>1</v>
      </c>
    </row>
    <row r="189" spans="1:9" x14ac:dyDescent="0.2">
      <c r="A189">
        <v>1</v>
      </c>
      <c r="B189">
        <v>128</v>
      </c>
      <c r="C189">
        <v>98</v>
      </c>
      <c r="D189">
        <v>41</v>
      </c>
      <c r="E189">
        <v>58</v>
      </c>
      <c r="F189">
        <v>32</v>
      </c>
      <c r="G189">
        <v>1.321</v>
      </c>
      <c r="H189">
        <v>33</v>
      </c>
      <c r="I189">
        <v>1</v>
      </c>
    </row>
    <row r="190" spans="1:9" x14ac:dyDescent="0.2">
      <c r="A190">
        <v>8</v>
      </c>
      <c r="B190">
        <v>109</v>
      </c>
      <c r="C190">
        <v>76</v>
      </c>
      <c r="D190">
        <v>39</v>
      </c>
      <c r="E190">
        <v>114</v>
      </c>
      <c r="F190">
        <v>27.9</v>
      </c>
      <c r="G190">
        <v>0.64</v>
      </c>
      <c r="H190">
        <v>31</v>
      </c>
      <c r="I190">
        <v>1</v>
      </c>
    </row>
    <row r="191" spans="1:9" x14ac:dyDescent="0.2">
      <c r="A191">
        <v>5</v>
      </c>
      <c r="B191">
        <v>139</v>
      </c>
      <c r="C191">
        <v>80</v>
      </c>
      <c r="D191">
        <v>35</v>
      </c>
      <c r="E191">
        <v>160</v>
      </c>
      <c r="F191">
        <v>31.6</v>
      </c>
      <c r="G191">
        <v>0.36099999999999999</v>
      </c>
      <c r="H191">
        <v>25</v>
      </c>
      <c r="I191">
        <v>1</v>
      </c>
    </row>
    <row r="192" spans="1:9" x14ac:dyDescent="0.2">
      <c r="A192">
        <v>3</v>
      </c>
      <c r="B192">
        <v>111</v>
      </c>
      <c r="C192">
        <v>62</v>
      </c>
      <c r="F192">
        <v>22.6</v>
      </c>
      <c r="G192">
        <v>0.14199999999999999</v>
      </c>
      <c r="H192">
        <v>21</v>
      </c>
      <c r="I192">
        <v>0</v>
      </c>
    </row>
    <row r="193" spans="1:9" x14ac:dyDescent="0.2">
      <c r="A193">
        <v>9</v>
      </c>
      <c r="B193">
        <v>123</v>
      </c>
      <c r="C193">
        <v>70</v>
      </c>
      <c r="D193">
        <v>44</v>
      </c>
      <c r="E193">
        <v>94</v>
      </c>
      <c r="F193">
        <v>33.1</v>
      </c>
      <c r="G193">
        <v>0.374</v>
      </c>
      <c r="H193">
        <v>40</v>
      </c>
      <c r="I193">
        <v>0</v>
      </c>
    </row>
    <row r="194" spans="1:9" x14ac:dyDescent="0.2">
      <c r="A194">
        <v>7</v>
      </c>
      <c r="B194">
        <v>159</v>
      </c>
      <c r="C194">
        <v>66</v>
      </c>
      <c r="F194">
        <v>30.4</v>
      </c>
      <c r="G194">
        <v>0.38300000000000001</v>
      </c>
      <c r="H194">
        <v>36</v>
      </c>
      <c r="I194">
        <v>1</v>
      </c>
    </row>
    <row r="195" spans="1:9" x14ac:dyDescent="0.2">
      <c r="A195">
        <v>11</v>
      </c>
      <c r="B195">
        <v>135</v>
      </c>
      <c r="F195">
        <v>52.3</v>
      </c>
      <c r="G195">
        <v>0.57799999999999996</v>
      </c>
      <c r="H195">
        <v>40</v>
      </c>
      <c r="I195">
        <v>1</v>
      </c>
    </row>
    <row r="196" spans="1:9" x14ac:dyDescent="0.2">
      <c r="A196">
        <v>8</v>
      </c>
      <c r="B196">
        <v>85</v>
      </c>
      <c r="C196">
        <v>55</v>
      </c>
      <c r="D196">
        <v>20</v>
      </c>
      <c r="F196">
        <v>24.4</v>
      </c>
      <c r="G196">
        <v>0.13600000000000001</v>
      </c>
      <c r="H196">
        <v>42</v>
      </c>
      <c r="I196">
        <v>0</v>
      </c>
    </row>
    <row r="197" spans="1:9" x14ac:dyDescent="0.2">
      <c r="A197">
        <v>5</v>
      </c>
      <c r="B197">
        <v>158</v>
      </c>
      <c r="C197">
        <v>84</v>
      </c>
      <c r="D197">
        <v>41</v>
      </c>
      <c r="E197">
        <v>210</v>
      </c>
      <c r="F197">
        <v>39.4</v>
      </c>
      <c r="G197">
        <v>0.39500000000000002</v>
      </c>
      <c r="H197">
        <v>29</v>
      </c>
      <c r="I197">
        <v>1</v>
      </c>
    </row>
    <row r="198" spans="1:9" x14ac:dyDescent="0.2">
      <c r="A198">
        <v>1</v>
      </c>
      <c r="B198">
        <v>105</v>
      </c>
      <c r="C198">
        <v>58</v>
      </c>
      <c r="F198">
        <v>24.3</v>
      </c>
      <c r="G198">
        <v>0.187</v>
      </c>
      <c r="H198">
        <v>21</v>
      </c>
      <c r="I198">
        <v>0</v>
      </c>
    </row>
    <row r="199" spans="1:9" x14ac:dyDescent="0.2">
      <c r="A199">
        <v>3</v>
      </c>
      <c r="B199">
        <v>107</v>
      </c>
      <c r="C199">
        <v>62</v>
      </c>
      <c r="D199">
        <v>13</v>
      </c>
      <c r="E199">
        <v>48</v>
      </c>
      <c r="F199">
        <v>22.9</v>
      </c>
      <c r="G199">
        <v>0.67800000000000005</v>
      </c>
      <c r="H199">
        <v>23</v>
      </c>
      <c r="I199">
        <v>1</v>
      </c>
    </row>
    <row r="200" spans="1:9" x14ac:dyDescent="0.2">
      <c r="A200">
        <v>4</v>
      </c>
      <c r="B200">
        <v>109</v>
      </c>
      <c r="C200">
        <v>64</v>
      </c>
      <c r="D200">
        <v>44</v>
      </c>
      <c r="E200">
        <v>99</v>
      </c>
      <c r="F200">
        <v>34.799999999999997</v>
      </c>
      <c r="G200">
        <v>0.90500000000000003</v>
      </c>
      <c r="H200">
        <v>26</v>
      </c>
      <c r="I200">
        <v>1</v>
      </c>
    </row>
    <row r="201" spans="1:9" x14ac:dyDescent="0.2">
      <c r="A201">
        <v>4</v>
      </c>
      <c r="B201">
        <v>148</v>
      </c>
      <c r="C201">
        <v>60</v>
      </c>
      <c r="D201">
        <v>27</v>
      </c>
      <c r="E201">
        <v>318</v>
      </c>
      <c r="F201">
        <v>30.9</v>
      </c>
      <c r="G201">
        <v>0.15</v>
      </c>
      <c r="H201">
        <v>29</v>
      </c>
      <c r="I201">
        <v>1</v>
      </c>
    </row>
    <row r="202" spans="1:9" x14ac:dyDescent="0.2">
      <c r="A202">
        <v>0</v>
      </c>
      <c r="B202">
        <v>113</v>
      </c>
      <c r="C202">
        <v>80</v>
      </c>
      <c r="D202">
        <v>16</v>
      </c>
      <c r="F202">
        <v>31</v>
      </c>
      <c r="G202">
        <v>0.874</v>
      </c>
      <c r="H202">
        <v>21</v>
      </c>
      <c r="I202">
        <v>0</v>
      </c>
    </row>
    <row r="203" spans="1:9" x14ac:dyDescent="0.2">
      <c r="A203">
        <v>1</v>
      </c>
      <c r="B203">
        <v>138</v>
      </c>
      <c r="C203">
        <v>82</v>
      </c>
      <c r="F203">
        <v>40.1</v>
      </c>
      <c r="G203">
        <v>0.23599999999999999</v>
      </c>
      <c r="H203">
        <v>28</v>
      </c>
      <c r="I203">
        <v>0</v>
      </c>
    </row>
    <row r="204" spans="1:9" x14ac:dyDescent="0.2">
      <c r="A204">
        <v>0</v>
      </c>
      <c r="B204">
        <v>108</v>
      </c>
      <c r="C204">
        <v>68</v>
      </c>
      <c r="D204">
        <v>20</v>
      </c>
      <c r="F204">
        <v>27.3</v>
      </c>
      <c r="G204">
        <v>0.78700000000000003</v>
      </c>
      <c r="H204">
        <v>32</v>
      </c>
      <c r="I204">
        <v>0</v>
      </c>
    </row>
    <row r="205" spans="1:9" x14ac:dyDescent="0.2">
      <c r="A205">
        <v>2</v>
      </c>
      <c r="B205">
        <v>99</v>
      </c>
      <c r="C205">
        <v>70</v>
      </c>
      <c r="D205">
        <v>16</v>
      </c>
      <c r="E205">
        <v>44</v>
      </c>
      <c r="F205">
        <v>20.399999999999999</v>
      </c>
      <c r="G205">
        <v>0.23499999999999999</v>
      </c>
      <c r="H205">
        <v>27</v>
      </c>
      <c r="I205">
        <v>0</v>
      </c>
    </row>
    <row r="206" spans="1:9" x14ac:dyDescent="0.2">
      <c r="A206">
        <v>6</v>
      </c>
      <c r="B206">
        <v>103</v>
      </c>
      <c r="C206">
        <v>72</v>
      </c>
      <c r="D206">
        <v>32</v>
      </c>
      <c r="E206">
        <v>190</v>
      </c>
      <c r="F206">
        <v>37.700000000000003</v>
      </c>
      <c r="G206">
        <v>0.32400000000000001</v>
      </c>
      <c r="H206">
        <v>55</v>
      </c>
      <c r="I206">
        <v>0</v>
      </c>
    </row>
    <row r="207" spans="1:9" x14ac:dyDescent="0.2">
      <c r="A207">
        <v>5</v>
      </c>
      <c r="B207">
        <v>111</v>
      </c>
      <c r="C207">
        <v>72</v>
      </c>
      <c r="D207">
        <v>28</v>
      </c>
      <c r="F207">
        <v>23.9</v>
      </c>
      <c r="G207">
        <v>0.40699999999999997</v>
      </c>
      <c r="H207">
        <v>27</v>
      </c>
      <c r="I207">
        <v>0</v>
      </c>
    </row>
    <row r="208" spans="1:9" x14ac:dyDescent="0.2">
      <c r="A208">
        <v>8</v>
      </c>
      <c r="B208">
        <v>196</v>
      </c>
      <c r="C208">
        <v>76</v>
      </c>
      <c r="D208">
        <v>29</v>
      </c>
      <c r="E208">
        <v>280</v>
      </c>
      <c r="F208">
        <v>37.5</v>
      </c>
      <c r="G208">
        <v>0.60499999999999998</v>
      </c>
      <c r="H208">
        <v>57</v>
      </c>
      <c r="I208">
        <v>1</v>
      </c>
    </row>
    <row r="209" spans="1:9" x14ac:dyDescent="0.2">
      <c r="A209">
        <v>5</v>
      </c>
      <c r="B209">
        <v>162</v>
      </c>
      <c r="C209">
        <v>104</v>
      </c>
      <c r="F209">
        <v>37.700000000000003</v>
      </c>
      <c r="G209">
        <v>0.151</v>
      </c>
      <c r="H209">
        <v>52</v>
      </c>
      <c r="I209">
        <v>1</v>
      </c>
    </row>
    <row r="210" spans="1:9" x14ac:dyDescent="0.2">
      <c r="A210">
        <v>1</v>
      </c>
      <c r="B210">
        <v>96</v>
      </c>
      <c r="C210">
        <v>64</v>
      </c>
      <c r="D210">
        <v>27</v>
      </c>
      <c r="E210">
        <v>87</v>
      </c>
      <c r="F210">
        <v>33.200000000000003</v>
      </c>
      <c r="G210">
        <v>0.28899999999999998</v>
      </c>
      <c r="H210">
        <v>21</v>
      </c>
      <c r="I210">
        <v>0</v>
      </c>
    </row>
    <row r="211" spans="1:9" x14ac:dyDescent="0.2">
      <c r="A211">
        <v>7</v>
      </c>
      <c r="B211">
        <v>184</v>
      </c>
      <c r="C211">
        <v>84</v>
      </c>
      <c r="D211">
        <v>33</v>
      </c>
      <c r="F211">
        <v>35.5</v>
      </c>
      <c r="G211">
        <v>0.35499999999999998</v>
      </c>
      <c r="H211">
        <v>41</v>
      </c>
      <c r="I211">
        <v>1</v>
      </c>
    </row>
    <row r="212" spans="1:9" x14ac:dyDescent="0.2">
      <c r="A212">
        <v>2</v>
      </c>
      <c r="B212">
        <v>81</v>
      </c>
      <c r="C212">
        <v>60</v>
      </c>
      <c r="D212">
        <v>22</v>
      </c>
      <c r="F212">
        <v>27.7</v>
      </c>
      <c r="G212">
        <v>0.28999999999999998</v>
      </c>
      <c r="H212">
        <v>25</v>
      </c>
      <c r="I212">
        <v>0</v>
      </c>
    </row>
    <row r="213" spans="1:9" x14ac:dyDescent="0.2">
      <c r="A213">
        <v>0</v>
      </c>
      <c r="B213">
        <v>147</v>
      </c>
      <c r="C213">
        <v>85</v>
      </c>
      <c r="D213">
        <v>54</v>
      </c>
      <c r="F213">
        <v>42.8</v>
      </c>
      <c r="G213">
        <v>0.375</v>
      </c>
      <c r="H213">
        <v>24</v>
      </c>
      <c r="I213">
        <v>0</v>
      </c>
    </row>
    <row r="214" spans="1:9" x14ac:dyDescent="0.2">
      <c r="A214">
        <v>7</v>
      </c>
      <c r="B214">
        <v>179</v>
      </c>
      <c r="C214">
        <v>95</v>
      </c>
      <c r="D214">
        <v>31</v>
      </c>
      <c r="F214">
        <v>34.200000000000003</v>
      </c>
      <c r="G214">
        <v>0.16400000000000001</v>
      </c>
      <c r="H214">
        <v>60</v>
      </c>
      <c r="I214">
        <v>0</v>
      </c>
    </row>
    <row r="215" spans="1:9" x14ac:dyDescent="0.2">
      <c r="A215">
        <v>0</v>
      </c>
      <c r="B215">
        <v>140</v>
      </c>
      <c r="C215">
        <v>65</v>
      </c>
      <c r="D215">
        <v>26</v>
      </c>
      <c r="E215">
        <v>130</v>
      </c>
      <c r="F215">
        <v>42.6</v>
      </c>
      <c r="G215">
        <v>0.43099999999999999</v>
      </c>
      <c r="H215">
        <v>24</v>
      </c>
      <c r="I215">
        <v>1</v>
      </c>
    </row>
    <row r="216" spans="1:9" x14ac:dyDescent="0.2">
      <c r="A216">
        <v>9</v>
      </c>
      <c r="B216">
        <v>112</v>
      </c>
      <c r="C216">
        <v>82</v>
      </c>
      <c r="D216">
        <v>32</v>
      </c>
      <c r="E216">
        <v>175</v>
      </c>
      <c r="F216">
        <v>34.200000000000003</v>
      </c>
      <c r="G216">
        <v>0.26</v>
      </c>
      <c r="H216">
        <v>36</v>
      </c>
      <c r="I216">
        <v>1</v>
      </c>
    </row>
    <row r="217" spans="1:9" x14ac:dyDescent="0.2">
      <c r="A217">
        <v>12</v>
      </c>
      <c r="B217">
        <v>151</v>
      </c>
      <c r="C217">
        <v>70</v>
      </c>
      <c r="D217">
        <v>40</v>
      </c>
      <c r="E217">
        <v>271</v>
      </c>
      <c r="F217">
        <v>41.8</v>
      </c>
      <c r="G217">
        <v>0.74199999999999999</v>
      </c>
      <c r="H217">
        <v>38</v>
      </c>
      <c r="I217">
        <v>1</v>
      </c>
    </row>
    <row r="218" spans="1:9" x14ac:dyDescent="0.2">
      <c r="A218">
        <v>5</v>
      </c>
      <c r="B218">
        <v>109</v>
      </c>
      <c r="C218">
        <v>62</v>
      </c>
      <c r="D218">
        <v>41</v>
      </c>
      <c r="E218">
        <v>129</v>
      </c>
      <c r="F218">
        <v>35.799999999999997</v>
      </c>
      <c r="G218">
        <v>0.51400000000000001</v>
      </c>
      <c r="H218">
        <v>25</v>
      </c>
      <c r="I218">
        <v>1</v>
      </c>
    </row>
    <row r="219" spans="1:9" x14ac:dyDescent="0.2">
      <c r="A219">
        <v>6</v>
      </c>
      <c r="B219">
        <v>125</v>
      </c>
      <c r="C219">
        <v>68</v>
      </c>
      <c r="D219">
        <v>30</v>
      </c>
      <c r="E219">
        <v>120</v>
      </c>
      <c r="F219">
        <v>30</v>
      </c>
      <c r="G219">
        <v>0.46400000000000002</v>
      </c>
      <c r="H219">
        <v>32</v>
      </c>
      <c r="I219">
        <v>0</v>
      </c>
    </row>
    <row r="220" spans="1:9" x14ac:dyDescent="0.2">
      <c r="A220">
        <v>5</v>
      </c>
      <c r="B220">
        <v>85</v>
      </c>
      <c r="C220">
        <v>74</v>
      </c>
      <c r="D220">
        <v>22</v>
      </c>
      <c r="F220">
        <v>29</v>
      </c>
      <c r="G220">
        <v>1.224</v>
      </c>
      <c r="H220">
        <v>32</v>
      </c>
      <c r="I220">
        <v>1</v>
      </c>
    </row>
    <row r="221" spans="1:9" x14ac:dyDescent="0.2">
      <c r="A221">
        <v>5</v>
      </c>
      <c r="B221">
        <v>112</v>
      </c>
      <c r="C221">
        <v>66</v>
      </c>
      <c r="F221">
        <v>37.799999999999997</v>
      </c>
      <c r="G221">
        <v>0.26100000000000001</v>
      </c>
      <c r="H221">
        <v>41</v>
      </c>
      <c r="I221">
        <v>1</v>
      </c>
    </row>
    <row r="222" spans="1:9" x14ac:dyDescent="0.2">
      <c r="A222">
        <v>0</v>
      </c>
      <c r="B222">
        <v>177</v>
      </c>
      <c r="C222">
        <v>60</v>
      </c>
      <c r="D222">
        <v>29</v>
      </c>
      <c r="E222">
        <v>478</v>
      </c>
      <c r="F222">
        <v>34.6</v>
      </c>
      <c r="G222">
        <v>1.0720000000000001</v>
      </c>
      <c r="H222">
        <v>21</v>
      </c>
      <c r="I222">
        <v>1</v>
      </c>
    </row>
    <row r="223" spans="1:9" x14ac:dyDescent="0.2">
      <c r="A223">
        <v>2</v>
      </c>
      <c r="B223">
        <v>158</v>
      </c>
      <c r="C223">
        <v>90</v>
      </c>
      <c r="F223">
        <v>31.6</v>
      </c>
      <c r="G223">
        <v>0.80500000000000005</v>
      </c>
      <c r="H223">
        <v>66</v>
      </c>
      <c r="I223">
        <v>1</v>
      </c>
    </row>
    <row r="224" spans="1:9" x14ac:dyDescent="0.2">
      <c r="A224">
        <v>7</v>
      </c>
      <c r="B224">
        <v>119</v>
      </c>
      <c r="F224">
        <v>25.2</v>
      </c>
      <c r="G224">
        <v>0.20899999999999999</v>
      </c>
      <c r="H224">
        <v>37</v>
      </c>
      <c r="I224">
        <v>0</v>
      </c>
    </row>
    <row r="225" spans="1:9" x14ac:dyDescent="0.2">
      <c r="A225">
        <v>7</v>
      </c>
      <c r="B225">
        <v>142</v>
      </c>
      <c r="C225">
        <v>60</v>
      </c>
      <c r="D225">
        <v>33</v>
      </c>
      <c r="E225">
        <v>190</v>
      </c>
      <c r="F225">
        <v>28.8</v>
      </c>
      <c r="G225">
        <v>0.68700000000000006</v>
      </c>
      <c r="H225">
        <v>61</v>
      </c>
      <c r="I225">
        <v>0</v>
      </c>
    </row>
    <row r="226" spans="1:9" x14ac:dyDescent="0.2">
      <c r="A226">
        <v>1</v>
      </c>
      <c r="B226">
        <v>100</v>
      </c>
      <c r="C226">
        <v>66</v>
      </c>
      <c r="D226">
        <v>15</v>
      </c>
      <c r="E226">
        <v>56</v>
      </c>
      <c r="F226">
        <v>23.6</v>
      </c>
      <c r="G226">
        <v>0.66600000000000004</v>
      </c>
      <c r="H226">
        <v>26</v>
      </c>
      <c r="I226">
        <v>0</v>
      </c>
    </row>
    <row r="227" spans="1:9" x14ac:dyDescent="0.2">
      <c r="A227">
        <v>1</v>
      </c>
      <c r="B227">
        <v>87</v>
      </c>
      <c r="C227">
        <v>78</v>
      </c>
      <c r="D227">
        <v>27</v>
      </c>
      <c r="E227">
        <v>32</v>
      </c>
      <c r="F227">
        <v>34.6</v>
      </c>
      <c r="G227">
        <v>0.10100000000000001</v>
      </c>
      <c r="H227">
        <v>22</v>
      </c>
      <c r="I227">
        <v>0</v>
      </c>
    </row>
    <row r="228" spans="1:9" x14ac:dyDescent="0.2">
      <c r="A228">
        <v>0</v>
      </c>
      <c r="B228">
        <v>101</v>
      </c>
      <c r="C228">
        <v>76</v>
      </c>
      <c r="F228">
        <v>35.700000000000003</v>
      </c>
      <c r="G228">
        <v>0.19800000000000001</v>
      </c>
      <c r="H228">
        <v>26</v>
      </c>
      <c r="I228">
        <v>0</v>
      </c>
    </row>
    <row r="229" spans="1:9" x14ac:dyDescent="0.2">
      <c r="A229">
        <v>3</v>
      </c>
      <c r="B229">
        <v>162</v>
      </c>
      <c r="C229">
        <v>52</v>
      </c>
      <c r="D229">
        <v>38</v>
      </c>
      <c r="F229">
        <v>37.200000000000003</v>
      </c>
      <c r="G229">
        <v>0.65200000000000002</v>
      </c>
      <c r="H229">
        <v>24</v>
      </c>
      <c r="I229">
        <v>1</v>
      </c>
    </row>
    <row r="230" spans="1:9" x14ac:dyDescent="0.2">
      <c r="A230">
        <v>4</v>
      </c>
      <c r="B230">
        <v>197</v>
      </c>
      <c r="C230">
        <v>70</v>
      </c>
      <c r="D230">
        <v>39</v>
      </c>
      <c r="E230">
        <v>744</v>
      </c>
      <c r="F230">
        <v>36.700000000000003</v>
      </c>
      <c r="G230">
        <v>2.3290000000000002</v>
      </c>
      <c r="H230">
        <v>31</v>
      </c>
      <c r="I230">
        <v>0</v>
      </c>
    </row>
    <row r="231" spans="1:9" x14ac:dyDescent="0.2">
      <c r="A231">
        <v>0</v>
      </c>
      <c r="B231">
        <v>117</v>
      </c>
      <c r="C231">
        <v>80</v>
      </c>
      <c r="D231">
        <v>31</v>
      </c>
      <c r="E231">
        <v>53</v>
      </c>
      <c r="F231">
        <v>45.2</v>
      </c>
      <c r="G231">
        <v>8.8999999999999996E-2</v>
      </c>
      <c r="H231">
        <v>24</v>
      </c>
      <c r="I231">
        <v>0</v>
      </c>
    </row>
    <row r="232" spans="1:9" x14ac:dyDescent="0.2">
      <c r="A232">
        <v>4</v>
      </c>
      <c r="B232">
        <v>142</v>
      </c>
      <c r="C232">
        <v>86</v>
      </c>
      <c r="F232">
        <v>44</v>
      </c>
      <c r="G232">
        <v>0.64500000000000002</v>
      </c>
      <c r="H232">
        <v>22</v>
      </c>
      <c r="I232">
        <v>1</v>
      </c>
    </row>
    <row r="233" spans="1:9" x14ac:dyDescent="0.2">
      <c r="A233">
        <v>6</v>
      </c>
      <c r="B233">
        <v>134</v>
      </c>
      <c r="C233">
        <v>80</v>
      </c>
      <c r="D233">
        <v>37</v>
      </c>
      <c r="E233">
        <v>370</v>
      </c>
      <c r="F233">
        <v>46.2</v>
      </c>
      <c r="G233">
        <v>0.23799999999999999</v>
      </c>
      <c r="H233">
        <v>46</v>
      </c>
      <c r="I233">
        <v>1</v>
      </c>
    </row>
    <row r="234" spans="1:9" x14ac:dyDescent="0.2">
      <c r="A234">
        <v>1</v>
      </c>
      <c r="B234">
        <v>79</v>
      </c>
      <c r="C234">
        <v>80</v>
      </c>
      <c r="D234">
        <v>25</v>
      </c>
      <c r="E234">
        <v>37</v>
      </c>
      <c r="F234">
        <v>25.4</v>
      </c>
      <c r="G234">
        <v>0.58299999999999996</v>
      </c>
      <c r="H234">
        <v>22</v>
      </c>
      <c r="I234">
        <v>0</v>
      </c>
    </row>
    <row r="235" spans="1:9" x14ac:dyDescent="0.2">
      <c r="A235">
        <v>4</v>
      </c>
      <c r="B235">
        <v>122</v>
      </c>
      <c r="C235">
        <v>68</v>
      </c>
      <c r="F235">
        <v>35</v>
      </c>
      <c r="G235">
        <v>0.39400000000000002</v>
      </c>
      <c r="H235">
        <v>29</v>
      </c>
      <c r="I235">
        <v>0</v>
      </c>
    </row>
    <row r="236" spans="1:9" x14ac:dyDescent="0.2">
      <c r="A236">
        <v>3</v>
      </c>
      <c r="B236">
        <v>74</v>
      </c>
      <c r="C236">
        <v>68</v>
      </c>
      <c r="D236">
        <v>28</v>
      </c>
      <c r="E236">
        <v>45</v>
      </c>
      <c r="F236">
        <v>29.7</v>
      </c>
      <c r="G236">
        <v>0.29299999999999998</v>
      </c>
      <c r="H236">
        <v>23</v>
      </c>
      <c r="I236">
        <v>0</v>
      </c>
    </row>
    <row r="237" spans="1:9" x14ac:dyDescent="0.2">
      <c r="A237">
        <v>4</v>
      </c>
      <c r="B237">
        <v>171</v>
      </c>
      <c r="C237">
        <v>72</v>
      </c>
      <c r="F237">
        <v>43.6</v>
      </c>
      <c r="G237">
        <v>0.47899999999999998</v>
      </c>
      <c r="H237">
        <v>26</v>
      </c>
      <c r="I237">
        <v>1</v>
      </c>
    </row>
    <row r="238" spans="1:9" x14ac:dyDescent="0.2">
      <c r="A238">
        <v>7</v>
      </c>
      <c r="B238">
        <v>181</v>
      </c>
      <c r="C238">
        <v>84</v>
      </c>
      <c r="D238">
        <v>21</v>
      </c>
      <c r="E238">
        <v>192</v>
      </c>
      <c r="F238">
        <v>35.9</v>
      </c>
      <c r="G238">
        <v>0.58599999999999997</v>
      </c>
      <c r="H238">
        <v>51</v>
      </c>
      <c r="I238">
        <v>1</v>
      </c>
    </row>
    <row r="239" spans="1:9" x14ac:dyDescent="0.2">
      <c r="A239">
        <v>0</v>
      </c>
      <c r="B239">
        <v>179</v>
      </c>
      <c r="C239">
        <v>90</v>
      </c>
      <c r="D239">
        <v>27</v>
      </c>
      <c r="F239">
        <v>44.1</v>
      </c>
      <c r="G239">
        <v>0.68600000000000005</v>
      </c>
      <c r="H239">
        <v>23</v>
      </c>
      <c r="I239">
        <v>1</v>
      </c>
    </row>
    <row r="240" spans="1:9" x14ac:dyDescent="0.2">
      <c r="A240">
        <v>9</v>
      </c>
      <c r="B240">
        <v>164</v>
      </c>
      <c r="C240">
        <v>84</v>
      </c>
      <c r="D240">
        <v>21</v>
      </c>
      <c r="F240">
        <v>30.8</v>
      </c>
      <c r="G240">
        <v>0.83099999999999996</v>
      </c>
      <c r="H240">
        <v>32</v>
      </c>
      <c r="I240">
        <v>1</v>
      </c>
    </row>
    <row r="241" spans="1:9" x14ac:dyDescent="0.2">
      <c r="A241">
        <v>0</v>
      </c>
      <c r="B241">
        <v>104</v>
      </c>
      <c r="C241">
        <v>76</v>
      </c>
      <c r="F241">
        <v>18.399999999999999</v>
      </c>
      <c r="G241">
        <v>0.58199999999999996</v>
      </c>
      <c r="H241">
        <v>27</v>
      </c>
      <c r="I241">
        <v>0</v>
      </c>
    </row>
    <row r="242" spans="1:9" x14ac:dyDescent="0.2">
      <c r="A242">
        <v>1</v>
      </c>
      <c r="B242">
        <v>91</v>
      </c>
      <c r="C242">
        <v>64</v>
      </c>
      <c r="D242">
        <v>24</v>
      </c>
      <c r="F242">
        <v>29.2</v>
      </c>
      <c r="G242">
        <v>0.192</v>
      </c>
      <c r="H242">
        <v>21</v>
      </c>
      <c r="I242">
        <v>0</v>
      </c>
    </row>
    <row r="243" spans="1:9" x14ac:dyDescent="0.2">
      <c r="A243">
        <v>4</v>
      </c>
      <c r="B243">
        <v>91</v>
      </c>
      <c r="C243">
        <v>70</v>
      </c>
      <c r="D243">
        <v>32</v>
      </c>
      <c r="E243">
        <v>88</v>
      </c>
      <c r="F243">
        <v>33.1</v>
      </c>
      <c r="G243">
        <v>0.44600000000000001</v>
      </c>
      <c r="H243">
        <v>22</v>
      </c>
      <c r="I243">
        <v>0</v>
      </c>
    </row>
    <row r="244" spans="1:9" x14ac:dyDescent="0.2">
      <c r="A244">
        <v>3</v>
      </c>
      <c r="B244">
        <v>139</v>
      </c>
      <c r="C244">
        <v>54</v>
      </c>
      <c r="F244">
        <v>25.6</v>
      </c>
      <c r="G244">
        <v>0.40200000000000002</v>
      </c>
      <c r="H244">
        <v>22</v>
      </c>
      <c r="I244">
        <v>1</v>
      </c>
    </row>
    <row r="245" spans="1:9" x14ac:dyDescent="0.2">
      <c r="A245">
        <v>6</v>
      </c>
      <c r="B245">
        <v>119</v>
      </c>
      <c r="C245">
        <v>50</v>
      </c>
      <c r="D245">
        <v>22</v>
      </c>
      <c r="E245">
        <v>176</v>
      </c>
      <c r="F245">
        <v>27.1</v>
      </c>
      <c r="G245">
        <v>1.3180000000000001</v>
      </c>
      <c r="H245">
        <v>33</v>
      </c>
      <c r="I245">
        <v>1</v>
      </c>
    </row>
    <row r="246" spans="1:9" x14ac:dyDescent="0.2">
      <c r="A246">
        <v>2</v>
      </c>
      <c r="B246">
        <v>146</v>
      </c>
      <c r="C246">
        <v>76</v>
      </c>
      <c r="D246">
        <v>35</v>
      </c>
      <c r="E246">
        <v>194</v>
      </c>
      <c r="F246">
        <v>38.200000000000003</v>
      </c>
      <c r="G246">
        <v>0.32900000000000001</v>
      </c>
      <c r="H246">
        <v>29</v>
      </c>
      <c r="I246">
        <v>0</v>
      </c>
    </row>
    <row r="247" spans="1:9" x14ac:dyDescent="0.2">
      <c r="A247">
        <v>9</v>
      </c>
      <c r="B247">
        <v>184</v>
      </c>
      <c r="C247">
        <v>85</v>
      </c>
      <c r="D247">
        <v>15</v>
      </c>
      <c r="F247">
        <v>30</v>
      </c>
      <c r="G247">
        <v>1.2130000000000001</v>
      </c>
      <c r="H247">
        <v>49</v>
      </c>
      <c r="I247">
        <v>1</v>
      </c>
    </row>
    <row r="248" spans="1:9" x14ac:dyDescent="0.2">
      <c r="A248">
        <v>10</v>
      </c>
      <c r="B248">
        <v>122</v>
      </c>
      <c r="C248">
        <v>68</v>
      </c>
      <c r="F248">
        <v>31.2</v>
      </c>
      <c r="G248">
        <v>0.25800000000000001</v>
      </c>
      <c r="H248">
        <v>41</v>
      </c>
      <c r="I248">
        <v>0</v>
      </c>
    </row>
    <row r="249" spans="1:9" x14ac:dyDescent="0.2">
      <c r="A249">
        <v>0</v>
      </c>
      <c r="B249">
        <v>165</v>
      </c>
      <c r="C249">
        <v>90</v>
      </c>
      <c r="D249">
        <v>33</v>
      </c>
      <c r="E249">
        <v>680</v>
      </c>
      <c r="F249">
        <v>52.3</v>
      </c>
      <c r="G249">
        <v>0.42699999999999999</v>
      </c>
      <c r="H249">
        <v>23</v>
      </c>
      <c r="I249">
        <v>0</v>
      </c>
    </row>
    <row r="250" spans="1:9" x14ac:dyDescent="0.2">
      <c r="A250">
        <v>9</v>
      </c>
      <c r="B250">
        <v>124</v>
      </c>
      <c r="C250">
        <v>70</v>
      </c>
      <c r="D250">
        <v>33</v>
      </c>
      <c r="E250">
        <v>402</v>
      </c>
      <c r="F250">
        <v>35.4</v>
      </c>
      <c r="G250">
        <v>0.28199999999999997</v>
      </c>
      <c r="H250">
        <v>34</v>
      </c>
      <c r="I250">
        <v>0</v>
      </c>
    </row>
    <row r="251" spans="1:9" x14ac:dyDescent="0.2">
      <c r="A251">
        <v>1</v>
      </c>
      <c r="B251">
        <v>111</v>
      </c>
      <c r="C251">
        <v>86</v>
      </c>
      <c r="D251">
        <v>19</v>
      </c>
      <c r="F251">
        <v>30.1</v>
      </c>
      <c r="G251">
        <v>0.14299999999999999</v>
      </c>
      <c r="H251">
        <v>23</v>
      </c>
      <c r="I251">
        <v>0</v>
      </c>
    </row>
    <row r="252" spans="1:9" x14ac:dyDescent="0.2">
      <c r="A252">
        <v>9</v>
      </c>
      <c r="B252">
        <v>106</v>
      </c>
      <c r="C252">
        <v>52</v>
      </c>
      <c r="F252">
        <v>31.2</v>
      </c>
      <c r="G252">
        <v>0.38</v>
      </c>
      <c r="H252">
        <v>42</v>
      </c>
      <c r="I252">
        <v>0</v>
      </c>
    </row>
    <row r="253" spans="1:9" x14ac:dyDescent="0.2">
      <c r="A253">
        <v>2</v>
      </c>
      <c r="B253">
        <v>129</v>
      </c>
      <c r="C253">
        <v>84</v>
      </c>
      <c r="F253">
        <v>28</v>
      </c>
      <c r="G253">
        <v>0.28399999999999997</v>
      </c>
      <c r="H253">
        <v>27</v>
      </c>
      <c r="I253">
        <v>0</v>
      </c>
    </row>
    <row r="254" spans="1:9" x14ac:dyDescent="0.2">
      <c r="A254">
        <v>2</v>
      </c>
      <c r="B254">
        <v>90</v>
      </c>
      <c r="C254">
        <v>80</v>
      </c>
      <c r="D254">
        <v>14</v>
      </c>
      <c r="E254">
        <v>55</v>
      </c>
      <c r="F254">
        <v>24.4</v>
      </c>
      <c r="G254">
        <v>0.249</v>
      </c>
      <c r="H254">
        <v>24</v>
      </c>
      <c r="I254">
        <v>0</v>
      </c>
    </row>
    <row r="255" spans="1:9" x14ac:dyDescent="0.2">
      <c r="A255">
        <v>0</v>
      </c>
      <c r="B255">
        <v>86</v>
      </c>
      <c r="C255">
        <v>68</v>
      </c>
      <c r="D255">
        <v>32</v>
      </c>
      <c r="F255">
        <v>35.799999999999997</v>
      </c>
      <c r="G255">
        <v>0.23799999999999999</v>
      </c>
      <c r="H255">
        <v>25</v>
      </c>
      <c r="I255">
        <v>0</v>
      </c>
    </row>
    <row r="256" spans="1:9" x14ac:dyDescent="0.2">
      <c r="A256">
        <v>12</v>
      </c>
      <c r="B256">
        <v>92</v>
      </c>
      <c r="C256">
        <v>62</v>
      </c>
      <c r="D256">
        <v>7</v>
      </c>
      <c r="E256">
        <v>258</v>
      </c>
      <c r="F256">
        <v>27.6</v>
      </c>
      <c r="G256">
        <v>0.92600000000000005</v>
      </c>
      <c r="H256">
        <v>44</v>
      </c>
      <c r="I256">
        <v>1</v>
      </c>
    </row>
    <row r="257" spans="1:9" x14ac:dyDescent="0.2">
      <c r="A257">
        <v>1</v>
      </c>
      <c r="B257">
        <v>113</v>
      </c>
      <c r="C257">
        <v>64</v>
      </c>
      <c r="D257">
        <v>35</v>
      </c>
      <c r="F257">
        <v>33.6</v>
      </c>
      <c r="G257">
        <v>0.54300000000000004</v>
      </c>
      <c r="H257">
        <v>21</v>
      </c>
      <c r="I257">
        <v>1</v>
      </c>
    </row>
    <row r="258" spans="1:9" x14ac:dyDescent="0.2">
      <c r="A258">
        <v>3</v>
      </c>
      <c r="B258">
        <v>111</v>
      </c>
      <c r="C258">
        <v>56</v>
      </c>
      <c r="D258">
        <v>39</v>
      </c>
      <c r="F258">
        <v>30.1</v>
      </c>
      <c r="G258">
        <v>0.55700000000000005</v>
      </c>
      <c r="H258">
        <v>30</v>
      </c>
      <c r="I258">
        <v>0</v>
      </c>
    </row>
    <row r="259" spans="1:9" x14ac:dyDescent="0.2">
      <c r="A259">
        <v>2</v>
      </c>
      <c r="B259">
        <v>114</v>
      </c>
      <c r="C259">
        <v>68</v>
      </c>
      <c r="D259">
        <v>22</v>
      </c>
      <c r="F259">
        <v>28.7</v>
      </c>
      <c r="G259">
        <v>9.1999999999999998E-2</v>
      </c>
      <c r="H259">
        <v>25</v>
      </c>
      <c r="I259">
        <v>0</v>
      </c>
    </row>
    <row r="260" spans="1:9" x14ac:dyDescent="0.2">
      <c r="A260">
        <v>1</v>
      </c>
      <c r="B260">
        <v>193</v>
      </c>
      <c r="C260">
        <v>50</v>
      </c>
      <c r="D260">
        <v>16</v>
      </c>
      <c r="E260">
        <v>375</v>
      </c>
      <c r="F260">
        <v>25.9</v>
      </c>
      <c r="G260">
        <v>0.65500000000000003</v>
      </c>
      <c r="H260">
        <v>24</v>
      </c>
      <c r="I260">
        <v>0</v>
      </c>
    </row>
    <row r="261" spans="1:9" x14ac:dyDescent="0.2">
      <c r="A261">
        <v>11</v>
      </c>
      <c r="B261">
        <v>155</v>
      </c>
      <c r="C261">
        <v>76</v>
      </c>
      <c r="D261">
        <v>28</v>
      </c>
      <c r="E261">
        <v>150</v>
      </c>
      <c r="F261">
        <v>33.299999999999997</v>
      </c>
      <c r="G261">
        <v>1.353</v>
      </c>
      <c r="H261">
        <v>51</v>
      </c>
      <c r="I261">
        <v>1</v>
      </c>
    </row>
    <row r="262" spans="1:9" x14ac:dyDescent="0.2">
      <c r="A262">
        <v>3</v>
      </c>
      <c r="B262">
        <v>191</v>
      </c>
      <c r="C262">
        <v>68</v>
      </c>
      <c r="D262">
        <v>15</v>
      </c>
      <c r="E262">
        <v>130</v>
      </c>
      <c r="F262">
        <v>30.9</v>
      </c>
      <c r="G262">
        <v>0.29899999999999999</v>
      </c>
      <c r="H262">
        <v>34</v>
      </c>
      <c r="I262">
        <v>0</v>
      </c>
    </row>
    <row r="263" spans="1:9" x14ac:dyDescent="0.2">
      <c r="A263">
        <v>3</v>
      </c>
      <c r="B263">
        <v>141</v>
      </c>
      <c r="F263">
        <v>30</v>
      </c>
      <c r="G263">
        <v>0.76100000000000001</v>
      </c>
      <c r="H263">
        <v>27</v>
      </c>
      <c r="I263">
        <v>1</v>
      </c>
    </row>
    <row r="264" spans="1:9" x14ac:dyDescent="0.2">
      <c r="A264">
        <v>4</v>
      </c>
      <c r="B264">
        <v>95</v>
      </c>
      <c r="C264">
        <v>70</v>
      </c>
      <c r="D264">
        <v>32</v>
      </c>
      <c r="F264">
        <v>32.1</v>
      </c>
      <c r="G264">
        <v>0.61199999999999999</v>
      </c>
      <c r="H264">
        <v>24</v>
      </c>
      <c r="I264">
        <v>0</v>
      </c>
    </row>
    <row r="265" spans="1:9" x14ac:dyDescent="0.2">
      <c r="A265">
        <v>3</v>
      </c>
      <c r="B265">
        <v>142</v>
      </c>
      <c r="C265">
        <v>80</v>
      </c>
      <c r="D265">
        <v>15</v>
      </c>
      <c r="F265">
        <v>32.4</v>
      </c>
      <c r="G265">
        <v>0.2</v>
      </c>
      <c r="H265">
        <v>63</v>
      </c>
      <c r="I265">
        <v>0</v>
      </c>
    </row>
    <row r="266" spans="1:9" x14ac:dyDescent="0.2">
      <c r="A266">
        <v>4</v>
      </c>
      <c r="B266">
        <v>123</v>
      </c>
      <c r="C266">
        <v>62</v>
      </c>
      <c r="F266">
        <v>32</v>
      </c>
      <c r="G266">
        <v>0.22600000000000001</v>
      </c>
      <c r="H266">
        <v>35</v>
      </c>
      <c r="I266">
        <v>1</v>
      </c>
    </row>
    <row r="267" spans="1:9" x14ac:dyDescent="0.2">
      <c r="A267">
        <v>5</v>
      </c>
      <c r="B267">
        <v>96</v>
      </c>
      <c r="C267">
        <v>74</v>
      </c>
      <c r="D267">
        <v>18</v>
      </c>
      <c r="E267">
        <v>67</v>
      </c>
      <c r="F267">
        <v>33.6</v>
      </c>
      <c r="G267">
        <v>0.997</v>
      </c>
      <c r="H267">
        <v>43</v>
      </c>
      <c r="I267">
        <v>0</v>
      </c>
    </row>
    <row r="268" spans="1:9" x14ac:dyDescent="0.2">
      <c r="A268">
        <v>0</v>
      </c>
      <c r="B268">
        <v>138</v>
      </c>
      <c r="F268">
        <v>36.299999999999997</v>
      </c>
      <c r="G268">
        <v>0.93300000000000005</v>
      </c>
      <c r="H268">
        <v>25</v>
      </c>
      <c r="I268">
        <v>1</v>
      </c>
    </row>
    <row r="269" spans="1:9" x14ac:dyDescent="0.2">
      <c r="A269">
        <v>2</v>
      </c>
      <c r="B269">
        <v>128</v>
      </c>
      <c r="C269">
        <v>64</v>
      </c>
      <c r="D269">
        <v>42</v>
      </c>
      <c r="F269">
        <v>40</v>
      </c>
      <c r="G269">
        <v>1.101</v>
      </c>
      <c r="H269">
        <v>24</v>
      </c>
      <c r="I269">
        <v>0</v>
      </c>
    </row>
    <row r="270" spans="1:9" x14ac:dyDescent="0.2">
      <c r="A270">
        <v>0</v>
      </c>
      <c r="B270">
        <v>102</v>
      </c>
      <c r="C270">
        <v>52</v>
      </c>
      <c r="F270">
        <v>25.1</v>
      </c>
      <c r="G270">
        <v>7.8E-2</v>
      </c>
      <c r="H270">
        <v>21</v>
      </c>
      <c r="I270">
        <v>0</v>
      </c>
    </row>
    <row r="271" spans="1:9" x14ac:dyDescent="0.2">
      <c r="A271">
        <v>2</v>
      </c>
      <c r="B271">
        <v>146</v>
      </c>
      <c r="F271">
        <v>27.5</v>
      </c>
      <c r="G271">
        <v>0.24</v>
      </c>
      <c r="H271">
        <v>28</v>
      </c>
      <c r="I271">
        <v>1</v>
      </c>
    </row>
    <row r="272" spans="1:9" x14ac:dyDescent="0.2">
      <c r="A272">
        <v>10</v>
      </c>
      <c r="B272">
        <v>101</v>
      </c>
      <c r="C272">
        <v>86</v>
      </c>
      <c r="D272">
        <v>37</v>
      </c>
      <c r="F272">
        <v>45.6</v>
      </c>
      <c r="G272">
        <v>1.1359999999999999</v>
      </c>
      <c r="H272">
        <v>38</v>
      </c>
      <c r="I272">
        <v>1</v>
      </c>
    </row>
    <row r="273" spans="1:9" x14ac:dyDescent="0.2">
      <c r="A273">
        <v>2</v>
      </c>
      <c r="B273">
        <v>108</v>
      </c>
      <c r="C273">
        <v>62</v>
      </c>
      <c r="D273">
        <v>32</v>
      </c>
      <c r="E273">
        <v>56</v>
      </c>
      <c r="F273">
        <v>25.2</v>
      </c>
      <c r="G273">
        <v>0.128</v>
      </c>
      <c r="H273">
        <v>21</v>
      </c>
      <c r="I273">
        <v>0</v>
      </c>
    </row>
    <row r="274" spans="1:9" x14ac:dyDescent="0.2">
      <c r="A274">
        <v>3</v>
      </c>
      <c r="B274">
        <v>122</v>
      </c>
      <c r="C274">
        <v>78</v>
      </c>
      <c r="F274">
        <v>23</v>
      </c>
      <c r="G274">
        <v>0.254</v>
      </c>
      <c r="H274">
        <v>40</v>
      </c>
      <c r="I274">
        <v>0</v>
      </c>
    </row>
    <row r="275" spans="1:9" x14ac:dyDescent="0.2">
      <c r="A275">
        <v>1</v>
      </c>
      <c r="B275">
        <v>71</v>
      </c>
      <c r="C275">
        <v>78</v>
      </c>
      <c r="D275">
        <v>50</v>
      </c>
      <c r="E275">
        <v>45</v>
      </c>
      <c r="F275">
        <v>33.200000000000003</v>
      </c>
      <c r="G275">
        <v>0.42199999999999999</v>
      </c>
      <c r="H275">
        <v>21</v>
      </c>
      <c r="I275">
        <v>0</v>
      </c>
    </row>
    <row r="276" spans="1:9" x14ac:dyDescent="0.2">
      <c r="A276">
        <v>13</v>
      </c>
      <c r="B276">
        <v>106</v>
      </c>
      <c r="C276">
        <v>70</v>
      </c>
      <c r="F276">
        <v>34.200000000000003</v>
      </c>
      <c r="G276">
        <v>0.251</v>
      </c>
      <c r="H276">
        <v>52</v>
      </c>
      <c r="I276">
        <v>0</v>
      </c>
    </row>
    <row r="277" spans="1:9" x14ac:dyDescent="0.2">
      <c r="A277">
        <v>2</v>
      </c>
      <c r="B277">
        <v>100</v>
      </c>
      <c r="C277">
        <v>70</v>
      </c>
      <c r="D277">
        <v>52</v>
      </c>
      <c r="E277">
        <v>57</v>
      </c>
      <c r="F277">
        <v>40.5</v>
      </c>
      <c r="G277">
        <v>0.67700000000000005</v>
      </c>
      <c r="H277">
        <v>25</v>
      </c>
      <c r="I277">
        <v>0</v>
      </c>
    </row>
    <row r="278" spans="1:9" x14ac:dyDescent="0.2">
      <c r="A278">
        <v>7</v>
      </c>
      <c r="B278">
        <v>106</v>
      </c>
      <c r="C278">
        <v>60</v>
      </c>
      <c r="D278">
        <v>24</v>
      </c>
      <c r="F278">
        <v>26.5</v>
      </c>
      <c r="G278">
        <v>0.29599999999999999</v>
      </c>
      <c r="H278">
        <v>29</v>
      </c>
      <c r="I278">
        <v>1</v>
      </c>
    </row>
    <row r="279" spans="1:9" x14ac:dyDescent="0.2">
      <c r="A279">
        <v>0</v>
      </c>
      <c r="B279">
        <v>104</v>
      </c>
      <c r="C279">
        <v>64</v>
      </c>
      <c r="D279">
        <v>23</v>
      </c>
      <c r="E279">
        <v>116</v>
      </c>
      <c r="F279">
        <v>27.8</v>
      </c>
      <c r="G279">
        <v>0.45400000000000001</v>
      </c>
      <c r="H279">
        <v>23</v>
      </c>
      <c r="I279">
        <v>0</v>
      </c>
    </row>
    <row r="280" spans="1:9" x14ac:dyDescent="0.2">
      <c r="A280">
        <v>5</v>
      </c>
      <c r="B280">
        <v>114</v>
      </c>
      <c r="C280">
        <v>74</v>
      </c>
      <c r="F280">
        <v>24.9</v>
      </c>
      <c r="G280">
        <v>0.74399999999999999</v>
      </c>
      <c r="H280">
        <v>57</v>
      </c>
      <c r="I280">
        <v>0</v>
      </c>
    </row>
    <row r="281" spans="1:9" x14ac:dyDescent="0.2">
      <c r="A281">
        <v>2</v>
      </c>
      <c r="B281">
        <v>108</v>
      </c>
      <c r="C281">
        <v>62</v>
      </c>
      <c r="D281">
        <v>10</v>
      </c>
      <c r="E281">
        <v>278</v>
      </c>
      <c r="F281">
        <v>25.3</v>
      </c>
      <c r="G281">
        <v>0.88100000000000001</v>
      </c>
      <c r="H281">
        <v>22</v>
      </c>
      <c r="I281">
        <v>0</v>
      </c>
    </row>
    <row r="282" spans="1:9" x14ac:dyDescent="0.2">
      <c r="A282">
        <v>0</v>
      </c>
      <c r="B282">
        <v>146</v>
      </c>
      <c r="C282">
        <v>70</v>
      </c>
      <c r="F282">
        <v>37.9</v>
      </c>
      <c r="G282">
        <v>0.33400000000000002</v>
      </c>
      <c r="H282">
        <v>28</v>
      </c>
      <c r="I282">
        <v>1</v>
      </c>
    </row>
    <row r="283" spans="1:9" x14ac:dyDescent="0.2">
      <c r="A283">
        <v>10</v>
      </c>
      <c r="B283">
        <v>129</v>
      </c>
      <c r="C283">
        <v>76</v>
      </c>
      <c r="D283">
        <v>28</v>
      </c>
      <c r="E283">
        <v>122</v>
      </c>
      <c r="F283">
        <v>35.9</v>
      </c>
      <c r="G283">
        <v>0.28000000000000003</v>
      </c>
      <c r="H283">
        <v>39</v>
      </c>
      <c r="I283">
        <v>0</v>
      </c>
    </row>
    <row r="284" spans="1:9" x14ac:dyDescent="0.2">
      <c r="A284">
        <v>7</v>
      </c>
      <c r="B284">
        <v>133</v>
      </c>
      <c r="C284">
        <v>88</v>
      </c>
      <c r="D284">
        <v>15</v>
      </c>
      <c r="E284">
        <v>155</v>
      </c>
      <c r="F284">
        <v>32.4</v>
      </c>
      <c r="G284">
        <v>0.26200000000000001</v>
      </c>
      <c r="H284">
        <v>37</v>
      </c>
      <c r="I284">
        <v>0</v>
      </c>
    </row>
    <row r="285" spans="1:9" x14ac:dyDescent="0.2">
      <c r="A285">
        <v>7</v>
      </c>
      <c r="B285">
        <v>161</v>
      </c>
      <c r="C285">
        <v>86</v>
      </c>
      <c r="F285">
        <v>30.4</v>
      </c>
      <c r="G285">
        <v>0.16500000000000001</v>
      </c>
      <c r="H285">
        <v>47</v>
      </c>
      <c r="I285">
        <v>1</v>
      </c>
    </row>
    <row r="286" spans="1:9" x14ac:dyDescent="0.2">
      <c r="A286">
        <v>2</v>
      </c>
      <c r="B286">
        <v>108</v>
      </c>
      <c r="C286">
        <v>80</v>
      </c>
      <c r="F286">
        <v>27</v>
      </c>
      <c r="G286">
        <v>0.25900000000000001</v>
      </c>
      <c r="H286">
        <v>52</v>
      </c>
      <c r="I286">
        <v>1</v>
      </c>
    </row>
    <row r="287" spans="1:9" x14ac:dyDescent="0.2">
      <c r="A287">
        <v>7</v>
      </c>
      <c r="B287">
        <v>136</v>
      </c>
      <c r="C287">
        <v>74</v>
      </c>
      <c r="D287">
        <v>26</v>
      </c>
      <c r="E287">
        <v>135</v>
      </c>
      <c r="F287">
        <v>26</v>
      </c>
      <c r="G287">
        <v>0.64700000000000002</v>
      </c>
      <c r="H287">
        <v>51</v>
      </c>
      <c r="I287">
        <v>0</v>
      </c>
    </row>
    <row r="288" spans="1:9" x14ac:dyDescent="0.2">
      <c r="A288">
        <v>5</v>
      </c>
      <c r="B288">
        <v>155</v>
      </c>
      <c r="C288">
        <v>84</v>
      </c>
      <c r="D288">
        <v>44</v>
      </c>
      <c r="E288">
        <v>545</v>
      </c>
      <c r="F288">
        <v>38.700000000000003</v>
      </c>
      <c r="G288">
        <v>0.61899999999999999</v>
      </c>
      <c r="H288">
        <v>34</v>
      </c>
      <c r="I288">
        <v>0</v>
      </c>
    </row>
    <row r="289" spans="1:9" x14ac:dyDescent="0.2">
      <c r="A289">
        <v>1</v>
      </c>
      <c r="B289">
        <v>119</v>
      </c>
      <c r="C289">
        <v>86</v>
      </c>
      <c r="D289">
        <v>39</v>
      </c>
      <c r="E289">
        <v>220</v>
      </c>
      <c r="F289">
        <v>45.6</v>
      </c>
      <c r="G289">
        <v>0.80800000000000005</v>
      </c>
      <c r="H289">
        <v>29</v>
      </c>
      <c r="I289">
        <v>1</v>
      </c>
    </row>
    <row r="290" spans="1:9" x14ac:dyDescent="0.2">
      <c r="A290">
        <v>4</v>
      </c>
      <c r="B290">
        <v>96</v>
      </c>
      <c r="C290">
        <v>56</v>
      </c>
      <c r="D290">
        <v>17</v>
      </c>
      <c r="E290">
        <v>49</v>
      </c>
      <c r="F290">
        <v>20.8</v>
      </c>
      <c r="G290">
        <v>0.34</v>
      </c>
      <c r="H290">
        <v>26</v>
      </c>
      <c r="I290">
        <v>0</v>
      </c>
    </row>
    <row r="291" spans="1:9" x14ac:dyDescent="0.2">
      <c r="A291">
        <v>5</v>
      </c>
      <c r="B291">
        <v>108</v>
      </c>
      <c r="C291">
        <v>72</v>
      </c>
      <c r="D291">
        <v>43</v>
      </c>
      <c r="E291">
        <v>75</v>
      </c>
      <c r="F291">
        <v>36.1</v>
      </c>
      <c r="G291">
        <v>0.26300000000000001</v>
      </c>
      <c r="H291">
        <v>33</v>
      </c>
      <c r="I291">
        <v>0</v>
      </c>
    </row>
    <row r="292" spans="1:9" x14ac:dyDescent="0.2">
      <c r="A292">
        <v>0</v>
      </c>
      <c r="B292">
        <v>78</v>
      </c>
      <c r="C292">
        <v>88</v>
      </c>
      <c r="D292">
        <v>29</v>
      </c>
      <c r="E292">
        <v>40</v>
      </c>
      <c r="F292">
        <v>36.9</v>
      </c>
      <c r="G292">
        <v>0.434</v>
      </c>
      <c r="H292">
        <v>21</v>
      </c>
      <c r="I292">
        <v>0</v>
      </c>
    </row>
    <row r="293" spans="1:9" x14ac:dyDescent="0.2">
      <c r="A293">
        <v>0</v>
      </c>
      <c r="B293">
        <v>107</v>
      </c>
      <c r="C293">
        <v>62</v>
      </c>
      <c r="D293">
        <v>30</v>
      </c>
      <c r="E293">
        <v>74</v>
      </c>
      <c r="F293">
        <v>36.6</v>
      </c>
      <c r="G293">
        <v>0.75700000000000001</v>
      </c>
      <c r="H293">
        <v>25</v>
      </c>
      <c r="I293">
        <v>1</v>
      </c>
    </row>
    <row r="294" spans="1:9" x14ac:dyDescent="0.2">
      <c r="A294">
        <v>2</v>
      </c>
      <c r="B294">
        <v>128</v>
      </c>
      <c r="C294">
        <v>78</v>
      </c>
      <c r="D294">
        <v>37</v>
      </c>
      <c r="E294">
        <v>182</v>
      </c>
      <c r="F294">
        <v>43.3</v>
      </c>
      <c r="G294">
        <v>1.224</v>
      </c>
      <c r="H294">
        <v>31</v>
      </c>
      <c r="I294">
        <v>1</v>
      </c>
    </row>
    <row r="295" spans="1:9" x14ac:dyDescent="0.2">
      <c r="A295">
        <v>1</v>
      </c>
      <c r="B295">
        <v>128</v>
      </c>
      <c r="C295">
        <v>48</v>
      </c>
      <c r="D295">
        <v>45</v>
      </c>
      <c r="E295">
        <v>194</v>
      </c>
      <c r="F295">
        <v>40.5</v>
      </c>
      <c r="G295">
        <v>0.61299999999999999</v>
      </c>
      <c r="H295">
        <v>24</v>
      </c>
      <c r="I295">
        <v>1</v>
      </c>
    </row>
    <row r="296" spans="1:9" x14ac:dyDescent="0.2">
      <c r="A296">
        <v>0</v>
      </c>
      <c r="B296">
        <v>161</v>
      </c>
      <c r="C296">
        <v>50</v>
      </c>
      <c r="F296">
        <v>21.9</v>
      </c>
      <c r="G296">
        <v>0.254</v>
      </c>
      <c r="H296">
        <v>65</v>
      </c>
      <c r="I296">
        <v>0</v>
      </c>
    </row>
    <row r="297" spans="1:9" x14ac:dyDescent="0.2">
      <c r="A297">
        <v>6</v>
      </c>
      <c r="B297">
        <v>151</v>
      </c>
      <c r="C297">
        <v>62</v>
      </c>
      <c r="D297">
        <v>31</v>
      </c>
      <c r="E297">
        <v>120</v>
      </c>
      <c r="F297">
        <v>35.5</v>
      </c>
      <c r="G297">
        <v>0.69199999999999995</v>
      </c>
      <c r="H297">
        <v>28</v>
      </c>
      <c r="I297">
        <v>0</v>
      </c>
    </row>
    <row r="298" spans="1:9" x14ac:dyDescent="0.2">
      <c r="A298">
        <v>2</v>
      </c>
      <c r="B298">
        <v>146</v>
      </c>
      <c r="C298">
        <v>70</v>
      </c>
      <c r="D298">
        <v>38</v>
      </c>
      <c r="E298">
        <v>360</v>
      </c>
      <c r="F298">
        <v>28</v>
      </c>
      <c r="G298">
        <v>0.33700000000000002</v>
      </c>
      <c r="H298">
        <v>29</v>
      </c>
      <c r="I298">
        <v>1</v>
      </c>
    </row>
    <row r="299" spans="1:9" x14ac:dyDescent="0.2">
      <c r="A299">
        <v>0</v>
      </c>
      <c r="B299">
        <v>126</v>
      </c>
      <c r="C299">
        <v>84</v>
      </c>
      <c r="D299">
        <v>29</v>
      </c>
      <c r="E299">
        <v>215</v>
      </c>
      <c r="F299">
        <v>30.7</v>
      </c>
      <c r="G299">
        <v>0.52</v>
      </c>
      <c r="H299">
        <v>24</v>
      </c>
      <c r="I299">
        <v>0</v>
      </c>
    </row>
    <row r="300" spans="1:9" x14ac:dyDescent="0.2">
      <c r="A300">
        <v>14</v>
      </c>
      <c r="B300">
        <v>100</v>
      </c>
      <c r="C300">
        <v>78</v>
      </c>
      <c r="D300">
        <v>25</v>
      </c>
      <c r="E300">
        <v>184</v>
      </c>
      <c r="F300">
        <v>36.6</v>
      </c>
      <c r="G300">
        <v>0.41199999999999998</v>
      </c>
      <c r="H300">
        <v>46</v>
      </c>
      <c r="I300">
        <v>1</v>
      </c>
    </row>
    <row r="301" spans="1:9" x14ac:dyDescent="0.2">
      <c r="A301">
        <v>8</v>
      </c>
      <c r="B301">
        <v>112</v>
      </c>
      <c r="C301">
        <v>72</v>
      </c>
      <c r="F301">
        <v>23.6</v>
      </c>
      <c r="G301">
        <v>0.84</v>
      </c>
      <c r="H301">
        <v>58</v>
      </c>
      <c r="I301">
        <v>0</v>
      </c>
    </row>
    <row r="302" spans="1:9" x14ac:dyDescent="0.2">
      <c r="A302">
        <v>0</v>
      </c>
      <c r="B302">
        <v>167</v>
      </c>
      <c r="F302">
        <v>32.299999999999997</v>
      </c>
      <c r="G302">
        <v>0.83899999999999997</v>
      </c>
      <c r="H302">
        <v>30</v>
      </c>
      <c r="I302">
        <v>1</v>
      </c>
    </row>
    <row r="303" spans="1:9" x14ac:dyDescent="0.2">
      <c r="A303">
        <v>2</v>
      </c>
      <c r="B303">
        <v>144</v>
      </c>
      <c r="C303">
        <v>58</v>
      </c>
      <c r="D303">
        <v>33</v>
      </c>
      <c r="E303">
        <v>135</v>
      </c>
      <c r="F303">
        <v>31.6</v>
      </c>
      <c r="G303">
        <v>0.42199999999999999</v>
      </c>
      <c r="H303">
        <v>25</v>
      </c>
      <c r="I303">
        <v>1</v>
      </c>
    </row>
    <row r="304" spans="1:9" x14ac:dyDescent="0.2">
      <c r="A304">
        <v>5</v>
      </c>
      <c r="B304">
        <v>77</v>
      </c>
      <c r="C304">
        <v>82</v>
      </c>
      <c r="D304">
        <v>41</v>
      </c>
      <c r="E304">
        <v>42</v>
      </c>
      <c r="F304">
        <v>35.799999999999997</v>
      </c>
      <c r="G304">
        <v>0.156</v>
      </c>
      <c r="H304">
        <v>35</v>
      </c>
      <c r="I304">
        <v>0</v>
      </c>
    </row>
    <row r="305" spans="1:9" x14ac:dyDescent="0.2">
      <c r="A305">
        <v>5</v>
      </c>
      <c r="B305">
        <v>115</v>
      </c>
      <c r="C305">
        <v>98</v>
      </c>
      <c r="F305">
        <v>52.9</v>
      </c>
      <c r="G305">
        <v>0.20899999999999999</v>
      </c>
      <c r="H305">
        <v>28</v>
      </c>
      <c r="I305">
        <v>1</v>
      </c>
    </row>
    <row r="306" spans="1:9" x14ac:dyDescent="0.2">
      <c r="A306">
        <v>3</v>
      </c>
      <c r="B306">
        <v>150</v>
      </c>
      <c r="C306">
        <v>76</v>
      </c>
      <c r="F306">
        <v>21</v>
      </c>
      <c r="G306">
        <v>0.20699999999999999</v>
      </c>
      <c r="H306">
        <v>37</v>
      </c>
      <c r="I306">
        <v>0</v>
      </c>
    </row>
    <row r="307" spans="1:9" x14ac:dyDescent="0.2">
      <c r="A307">
        <v>2</v>
      </c>
      <c r="B307">
        <v>120</v>
      </c>
      <c r="C307">
        <v>76</v>
      </c>
      <c r="D307">
        <v>37</v>
      </c>
      <c r="E307">
        <v>105</v>
      </c>
      <c r="F307">
        <v>39.700000000000003</v>
      </c>
      <c r="G307">
        <v>0.215</v>
      </c>
      <c r="H307">
        <v>29</v>
      </c>
      <c r="I307">
        <v>0</v>
      </c>
    </row>
    <row r="308" spans="1:9" x14ac:dyDescent="0.2">
      <c r="A308">
        <v>10</v>
      </c>
      <c r="B308">
        <v>161</v>
      </c>
      <c r="C308">
        <v>68</v>
      </c>
      <c r="D308">
        <v>23</v>
      </c>
      <c r="E308">
        <v>132</v>
      </c>
      <c r="F308">
        <v>25.5</v>
      </c>
      <c r="G308">
        <v>0.32600000000000001</v>
      </c>
      <c r="H308">
        <v>47</v>
      </c>
      <c r="I308">
        <v>1</v>
      </c>
    </row>
    <row r="309" spans="1:9" x14ac:dyDescent="0.2">
      <c r="A309">
        <v>0</v>
      </c>
      <c r="B309">
        <v>137</v>
      </c>
      <c r="C309">
        <v>68</v>
      </c>
      <c r="D309">
        <v>14</v>
      </c>
      <c r="E309">
        <v>148</v>
      </c>
      <c r="F309">
        <v>24.8</v>
      </c>
      <c r="G309">
        <v>0.14299999999999999</v>
      </c>
      <c r="H309">
        <v>21</v>
      </c>
      <c r="I309">
        <v>0</v>
      </c>
    </row>
    <row r="310" spans="1:9" x14ac:dyDescent="0.2">
      <c r="A310">
        <v>0</v>
      </c>
      <c r="B310">
        <v>128</v>
      </c>
      <c r="C310">
        <v>68</v>
      </c>
      <c r="D310">
        <v>19</v>
      </c>
      <c r="E310">
        <v>180</v>
      </c>
      <c r="F310">
        <v>30.5</v>
      </c>
      <c r="G310">
        <v>1.391</v>
      </c>
      <c r="H310">
        <v>25</v>
      </c>
      <c r="I310">
        <v>1</v>
      </c>
    </row>
    <row r="311" spans="1:9" x14ac:dyDescent="0.2">
      <c r="A311">
        <v>2</v>
      </c>
      <c r="B311">
        <v>124</v>
      </c>
      <c r="C311">
        <v>68</v>
      </c>
      <c r="D311">
        <v>28</v>
      </c>
      <c r="E311">
        <v>205</v>
      </c>
      <c r="F311">
        <v>32.9</v>
      </c>
      <c r="G311">
        <v>0.875</v>
      </c>
      <c r="H311">
        <v>30</v>
      </c>
      <c r="I311">
        <v>1</v>
      </c>
    </row>
    <row r="312" spans="1:9" x14ac:dyDescent="0.2">
      <c r="A312">
        <v>6</v>
      </c>
      <c r="B312">
        <v>80</v>
      </c>
      <c r="C312">
        <v>66</v>
      </c>
      <c r="D312">
        <v>30</v>
      </c>
      <c r="F312">
        <v>26.2</v>
      </c>
      <c r="G312">
        <v>0.313</v>
      </c>
      <c r="H312">
        <v>41</v>
      </c>
      <c r="I312">
        <v>0</v>
      </c>
    </row>
    <row r="313" spans="1:9" x14ac:dyDescent="0.2">
      <c r="A313">
        <v>0</v>
      </c>
      <c r="B313">
        <v>106</v>
      </c>
      <c r="C313">
        <v>70</v>
      </c>
      <c r="D313">
        <v>37</v>
      </c>
      <c r="E313">
        <v>148</v>
      </c>
      <c r="F313">
        <v>39.4</v>
      </c>
      <c r="G313">
        <v>0.60499999999999998</v>
      </c>
      <c r="H313">
        <v>22</v>
      </c>
      <c r="I313">
        <v>0</v>
      </c>
    </row>
    <row r="314" spans="1:9" x14ac:dyDescent="0.2">
      <c r="A314">
        <v>2</v>
      </c>
      <c r="B314">
        <v>155</v>
      </c>
      <c r="C314">
        <v>74</v>
      </c>
      <c r="D314">
        <v>17</v>
      </c>
      <c r="E314">
        <v>96</v>
      </c>
      <c r="F314">
        <v>26.6</v>
      </c>
      <c r="G314">
        <v>0.433</v>
      </c>
      <c r="H314">
        <v>27</v>
      </c>
      <c r="I314">
        <v>1</v>
      </c>
    </row>
    <row r="315" spans="1:9" x14ac:dyDescent="0.2">
      <c r="A315">
        <v>3</v>
      </c>
      <c r="B315">
        <v>113</v>
      </c>
      <c r="C315">
        <v>50</v>
      </c>
      <c r="D315">
        <v>10</v>
      </c>
      <c r="E315">
        <v>85</v>
      </c>
      <c r="F315">
        <v>29.5</v>
      </c>
      <c r="G315">
        <v>0.626</v>
      </c>
      <c r="H315">
        <v>25</v>
      </c>
      <c r="I315">
        <v>0</v>
      </c>
    </row>
    <row r="316" spans="1:9" x14ac:dyDescent="0.2">
      <c r="A316">
        <v>7</v>
      </c>
      <c r="B316">
        <v>109</v>
      </c>
      <c r="C316">
        <v>80</v>
      </c>
      <c r="D316">
        <v>31</v>
      </c>
      <c r="F316">
        <v>35.9</v>
      </c>
      <c r="G316">
        <v>1.127</v>
      </c>
      <c r="H316">
        <v>43</v>
      </c>
      <c r="I316">
        <v>1</v>
      </c>
    </row>
    <row r="317" spans="1:9" x14ac:dyDescent="0.2">
      <c r="A317">
        <v>2</v>
      </c>
      <c r="B317">
        <v>112</v>
      </c>
      <c r="C317">
        <v>68</v>
      </c>
      <c r="D317">
        <v>22</v>
      </c>
      <c r="E317">
        <v>94</v>
      </c>
      <c r="F317">
        <v>34.1</v>
      </c>
      <c r="G317">
        <v>0.315</v>
      </c>
      <c r="H317">
        <v>26</v>
      </c>
      <c r="I317">
        <v>0</v>
      </c>
    </row>
    <row r="318" spans="1:9" x14ac:dyDescent="0.2">
      <c r="A318">
        <v>3</v>
      </c>
      <c r="B318">
        <v>99</v>
      </c>
      <c r="C318">
        <v>80</v>
      </c>
      <c r="D318">
        <v>11</v>
      </c>
      <c r="E318">
        <v>64</v>
      </c>
      <c r="F318">
        <v>19.3</v>
      </c>
      <c r="G318">
        <v>0.28399999999999997</v>
      </c>
      <c r="H318">
        <v>30</v>
      </c>
      <c r="I318">
        <v>0</v>
      </c>
    </row>
    <row r="319" spans="1:9" x14ac:dyDescent="0.2">
      <c r="A319">
        <v>3</v>
      </c>
      <c r="B319">
        <v>182</v>
      </c>
      <c r="C319">
        <v>74</v>
      </c>
      <c r="F319">
        <v>30.5</v>
      </c>
      <c r="G319">
        <v>0.34499999999999997</v>
      </c>
      <c r="H319">
        <v>29</v>
      </c>
      <c r="I319">
        <v>1</v>
      </c>
    </row>
    <row r="320" spans="1:9" x14ac:dyDescent="0.2">
      <c r="A320">
        <v>3</v>
      </c>
      <c r="B320">
        <v>115</v>
      </c>
      <c r="C320">
        <v>66</v>
      </c>
      <c r="D320">
        <v>39</v>
      </c>
      <c r="E320">
        <v>140</v>
      </c>
      <c r="F320">
        <v>38.1</v>
      </c>
      <c r="G320">
        <v>0.15</v>
      </c>
      <c r="H320">
        <v>28</v>
      </c>
      <c r="I320">
        <v>0</v>
      </c>
    </row>
    <row r="321" spans="1:9" x14ac:dyDescent="0.2">
      <c r="A321">
        <v>6</v>
      </c>
      <c r="B321">
        <v>194</v>
      </c>
      <c r="C321">
        <v>78</v>
      </c>
      <c r="F321">
        <v>23.5</v>
      </c>
      <c r="G321">
        <v>0.129</v>
      </c>
      <c r="H321">
        <v>59</v>
      </c>
      <c r="I321">
        <v>1</v>
      </c>
    </row>
    <row r="322" spans="1:9" x14ac:dyDescent="0.2">
      <c r="A322">
        <v>4</v>
      </c>
      <c r="B322">
        <v>129</v>
      </c>
      <c r="C322">
        <v>60</v>
      </c>
      <c r="D322">
        <v>12</v>
      </c>
      <c r="E322">
        <v>231</v>
      </c>
      <c r="F322">
        <v>27.5</v>
      </c>
      <c r="G322">
        <v>0.52700000000000002</v>
      </c>
      <c r="H322">
        <v>31</v>
      </c>
      <c r="I322">
        <v>0</v>
      </c>
    </row>
    <row r="323" spans="1:9" x14ac:dyDescent="0.2">
      <c r="A323">
        <v>3</v>
      </c>
      <c r="B323">
        <v>112</v>
      </c>
      <c r="C323">
        <v>74</v>
      </c>
      <c r="D323">
        <v>30</v>
      </c>
      <c r="F323">
        <v>31.6</v>
      </c>
      <c r="G323">
        <v>0.19700000000000001</v>
      </c>
      <c r="H323">
        <v>25</v>
      </c>
      <c r="I323">
        <v>1</v>
      </c>
    </row>
    <row r="324" spans="1:9" x14ac:dyDescent="0.2">
      <c r="A324">
        <v>0</v>
      </c>
      <c r="B324">
        <v>124</v>
      </c>
      <c r="C324">
        <v>70</v>
      </c>
      <c r="D324">
        <v>20</v>
      </c>
      <c r="F324">
        <v>27.4</v>
      </c>
      <c r="G324">
        <v>0.254</v>
      </c>
      <c r="H324">
        <v>36</v>
      </c>
      <c r="I324">
        <v>1</v>
      </c>
    </row>
    <row r="325" spans="1:9" x14ac:dyDescent="0.2">
      <c r="A325">
        <v>13</v>
      </c>
      <c r="B325">
        <v>152</v>
      </c>
      <c r="C325">
        <v>90</v>
      </c>
      <c r="D325">
        <v>33</v>
      </c>
      <c r="E325">
        <v>29</v>
      </c>
      <c r="F325">
        <v>26.8</v>
      </c>
      <c r="G325">
        <v>0.73099999999999998</v>
      </c>
      <c r="H325">
        <v>43</v>
      </c>
      <c r="I325">
        <v>1</v>
      </c>
    </row>
    <row r="326" spans="1:9" x14ac:dyDescent="0.2">
      <c r="A326">
        <v>2</v>
      </c>
      <c r="B326">
        <v>112</v>
      </c>
      <c r="C326">
        <v>75</v>
      </c>
      <c r="D326">
        <v>32</v>
      </c>
      <c r="F326">
        <v>35.700000000000003</v>
      </c>
      <c r="G326">
        <v>0.14799999999999999</v>
      </c>
      <c r="H326">
        <v>21</v>
      </c>
      <c r="I326">
        <v>0</v>
      </c>
    </row>
    <row r="327" spans="1:9" x14ac:dyDescent="0.2">
      <c r="A327">
        <v>1</v>
      </c>
      <c r="B327">
        <v>157</v>
      </c>
      <c r="C327">
        <v>72</v>
      </c>
      <c r="D327">
        <v>21</v>
      </c>
      <c r="E327">
        <v>168</v>
      </c>
      <c r="F327">
        <v>25.6</v>
      </c>
      <c r="G327">
        <v>0.123</v>
      </c>
      <c r="H327">
        <v>24</v>
      </c>
      <c r="I327">
        <v>0</v>
      </c>
    </row>
    <row r="328" spans="1:9" x14ac:dyDescent="0.2">
      <c r="A328">
        <v>1</v>
      </c>
      <c r="B328">
        <v>122</v>
      </c>
      <c r="C328">
        <v>64</v>
      </c>
      <c r="D328">
        <v>32</v>
      </c>
      <c r="E328">
        <v>156</v>
      </c>
      <c r="F328">
        <v>35.1</v>
      </c>
      <c r="G328">
        <v>0.69199999999999995</v>
      </c>
      <c r="H328">
        <v>30</v>
      </c>
      <c r="I328">
        <v>1</v>
      </c>
    </row>
    <row r="329" spans="1:9" x14ac:dyDescent="0.2">
      <c r="A329">
        <v>10</v>
      </c>
      <c r="B329">
        <v>179</v>
      </c>
      <c r="C329">
        <v>70</v>
      </c>
      <c r="F329">
        <v>35.1</v>
      </c>
      <c r="G329">
        <v>0.2</v>
      </c>
      <c r="H329">
        <v>37</v>
      </c>
      <c r="I329">
        <v>0</v>
      </c>
    </row>
    <row r="330" spans="1:9" x14ac:dyDescent="0.2">
      <c r="A330">
        <v>2</v>
      </c>
      <c r="B330">
        <v>102</v>
      </c>
      <c r="C330">
        <v>86</v>
      </c>
      <c r="D330">
        <v>36</v>
      </c>
      <c r="E330">
        <v>120</v>
      </c>
      <c r="F330">
        <v>45.5</v>
      </c>
      <c r="G330">
        <v>0.127</v>
      </c>
      <c r="H330">
        <v>23</v>
      </c>
      <c r="I330">
        <v>1</v>
      </c>
    </row>
    <row r="331" spans="1:9" x14ac:dyDescent="0.2">
      <c r="A331">
        <v>6</v>
      </c>
      <c r="B331">
        <v>105</v>
      </c>
      <c r="C331">
        <v>70</v>
      </c>
      <c r="D331">
        <v>32</v>
      </c>
      <c r="E331">
        <v>68</v>
      </c>
      <c r="F331">
        <v>30.8</v>
      </c>
      <c r="G331">
        <v>0.122</v>
      </c>
      <c r="H331">
        <v>37</v>
      </c>
      <c r="I331">
        <v>0</v>
      </c>
    </row>
    <row r="332" spans="1:9" x14ac:dyDescent="0.2">
      <c r="A332">
        <v>8</v>
      </c>
      <c r="B332">
        <v>118</v>
      </c>
      <c r="C332">
        <v>72</v>
      </c>
      <c r="D332">
        <v>19</v>
      </c>
      <c r="F332">
        <v>23.1</v>
      </c>
      <c r="G332">
        <v>1.476</v>
      </c>
      <c r="H332">
        <v>46</v>
      </c>
      <c r="I332">
        <v>0</v>
      </c>
    </row>
    <row r="333" spans="1:9" x14ac:dyDescent="0.2">
      <c r="A333">
        <v>2</v>
      </c>
      <c r="B333">
        <v>87</v>
      </c>
      <c r="C333">
        <v>58</v>
      </c>
      <c r="D333">
        <v>16</v>
      </c>
      <c r="E333">
        <v>52</v>
      </c>
      <c r="F333">
        <v>32.700000000000003</v>
      </c>
      <c r="G333">
        <v>0.16600000000000001</v>
      </c>
      <c r="H333">
        <v>25</v>
      </c>
      <c r="I333">
        <v>0</v>
      </c>
    </row>
    <row r="334" spans="1:9" x14ac:dyDescent="0.2">
      <c r="A334">
        <v>1</v>
      </c>
      <c r="B334">
        <v>180</v>
      </c>
      <c r="F334">
        <v>43.3</v>
      </c>
      <c r="G334">
        <v>0.28199999999999997</v>
      </c>
      <c r="H334">
        <v>41</v>
      </c>
      <c r="I334">
        <v>1</v>
      </c>
    </row>
    <row r="335" spans="1:9" x14ac:dyDescent="0.2">
      <c r="A335">
        <v>12</v>
      </c>
      <c r="B335">
        <v>106</v>
      </c>
      <c r="C335">
        <v>80</v>
      </c>
      <c r="F335">
        <v>23.6</v>
      </c>
      <c r="G335">
        <v>0.13700000000000001</v>
      </c>
      <c r="H335">
        <v>44</v>
      </c>
      <c r="I335">
        <v>0</v>
      </c>
    </row>
    <row r="336" spans="1:9" x14ac:dyDescent="0.2">
      <c r="A336">
        <v>1</v>
      </c>
      <c r="B336">
        <v>95</v>
      </c>
      <c r="C336">
        <v>60</v>
      </c>
      <c r="D336">
        <v>18</v>
      </c>
      <c r="E336">
        <v>58</v>
      </c>
      <c r="F336">
        <v>23.9</v>
      </c>
      <c r="G336">
        <v>0.26</v>
      </c>
      <c r="H336">
        <v>22</v>
      </c>
      <c r="I336">
        <v>0</v>
      </c>
    </row>
    <row r="337" spans="1:9" x14ac:dyDescent="0.2">
      <c r="A337">
        <v>0</v>
      </c>
      <c r="B337">
        <v>165</v>
      </c>
      <c r="C337">
        <v>76</v>
      </c>
      <c r="D337">
        <v>43</v>
      </c>
      <c r="E337">
        <v>255</v>
      </c>
      <c r="F337">
        <v>47.9</v>
      </c>
      <c r="G337">
        <v>0.25900000000000001</v>
      </c>
      <c r="H337">
        <v>26</v>
      </c>
      <c r="I337">
        <v>0</v>
      </c>
    </row>
    <row r="338" spans="1:9" x14ac:dyDescent="0.2">
      <c r="A338">
        <v>0</v>
      </c>
      <c r="B338">
        <v>117</v>
      </c>
      <c r="F338">
        <v>33.799999999999997</v>
      </c>
      <c r="G338">
        <v>0.93200000000000005</v>
      </c>
      <c r="H338">
        <v>44</v>
      </c>
      <c r="I338">
        <v>0</v>
      </c>
    </row>
    <row r="339" spans="1:9" x14ac:dyDescent="0.2">
      <c r="A339">
        <v>5</v>
      </c>
      <c r="B339">
        <v>115</v>
      </c>
      <c r="C339">
        <v>76</v>
      </c>
      <c r="F339">
        <v>31.2</v>
      </c>
      <c r="G339">
        <v>0.34300000000000003</v>
      </c>
      <c r="H339">
        <v>44</v>
      </c>
      <c r="I339">
        <v>1</v>
      </c>
    </row>
    <row r="340" spans="1:9" x14ac:dyDescent="0.2">
      <c r="A340">
        <v>9</v>
      </c>
      <c r="B340">
        <v>152</v>
      </c>
      <c r="C340">
        <v>78</v>
      </c>
      <c r="D340">
        <v>34</v>
      </c>
      <c r="E340">
        <v>171</v>
      </c>
      <c r="F340">
        <v>34.200000000000003</v>
      </c>
      <c r="G340">
        <v>0.89300000000000002</v>
      </c>
      <c r="H340">
        <v>33</v>
      </c>
      <c r="I340">
        <v>1</v>
      </c>
    </row>
    <row r="341" spans="1:9" x14ac:dyDescent="0.2">
      <c r="A341">
        <v>7</v>
      </c>
      <c r="B341">
        <v>178</v>
      </c>
      <c r="C341">
        <v>84</v>
      </c>
      <c r="F341">
        <v>39.9</v>
      </c>
      <c r="G341">
        <v>0.33100000000000002</v>
      </c>
      <c r="H341">
        <v>41</v>
      </c>
      <c r="I341">
        <v>1</v>
      </c>
    </row>
    <row r="342" spans="1:9" x14ac:dyDescent="0.2">
      <c r="A342">
        <v>1</v>
      </c>
      <c r="B342">
        <v>130</v>
      </c>
      <c r="C342">
        <v>70</v>
      </c>
      <c r="D342">
        <v>13</v>
      </c>
      <c r="E342">
        <v>105</v>
      </c>
      <c r="F342">
        <v>25.9</v>
      </c>
      <c r="G342">
        <v>0.47199999999999998</v>
      </c>
      <c r="H342">
        <v>22</v>
      </c>
      <c r="I342">
        <v>0</v>
      </c>
    </row>
    <row r="343" spans="1:9" x14ac:dyDescent="0.2">
      <c r="A343">
        <v>1</v>
      </c>
      <c r="B343">
        <v>95</v>
      </c>
      <c r="C343">
        <v>74</v>
      </c>
      <c r="D343">
        <v>21</v>
      </c>
      <c r="E343">
        <v>73</v>
      </c>
      <c r="F343">
        <v>25.9</v>
      </c>
      <c r="G343">
        <v>0.67300000000000004</v>
      </c>
      <c r="H343">
        <v>36</v>
      </c>
      <c r="I343">
        <v>0</v>
      </c>
    </row>
    <row r="344" spans="1:9" x14ac:dyDescent="0.2">
      <c r="A344">
        <v>1</v>
      </c>
      <c r="C344">
        <v>68</v>
      </c>
      <c r="D344">
        <v>35</v>
      </c>
      <c r="F344">
        <v>32</v>
      </c>
      <c r="G344">
        <v>0.38900000000000001</v>
      </c>
      <c r="H344">
        <v>22</v>
      </c>
      <c r="I344">
        <v>0</v>
      </c>
    </row>
    <row r="345" spans="1:9" x14ac:dyDescent="0.2">
      <c r="A345">
        <v>5</v>
      </c>
      <c r="B345">
        <v>122</v>
      </c>
      <c r="C345">
        <v>86</v>
      </c>
      <c r="F345">
        <v>34.700000000000003</v>
      </c>
      <c r="G345">
        <v>0.28999999999999998</v>
      </c>
      <c r="H345">
        <v>33</v>
      </c>
      <c r="I345">
        <v>0</v>
      </c>
    </row>
    <row r="346" spans="1:9" x14ac:dyDescent="0.2">
      <c r="A346">
        <v>8</v>
      </c>
      <c r="B346">
        <v>95</v>
      </c>
      <c r="C346">
        <v>72</v>
      </c>
      <c r="F346">
        <v>36.799999999999997</v>
      </c>
      <c r="G346">
        <v>0.48499999999999999</v>
      </c>
      <c r="H346">
        <v>57</v>
      </c>
      <c r="I346">
        <v>0</v>
      </c>
    </row>
    <row r="347" spans="1:9" x14ac:dyDescent="0.2">
      <c r="A347">
        <v>8</v>
      </c>
      <c r="B347">
        <v>126</v>
      </c>
      <c r="C347">
        <v>88</v>
      </c>
      <c r="D347">
        <v>36</v>
      </c>
      <c r="E347">
        <v>108</v>
      </c>
      <c r="F347">
        <v>38.5</v>
      </c>
      <c r="G347">
        <v>0.34899999999999998</v>
      </c>
      <c r="H347">
        <v>49</v>
      </c>
      <c r="I347">
        <v>0</v>
      </c>
    </row>
    <row r="348" spans="1:9" x14ac:dyDescent="0.2">
      <c r="A348">
        <v>1</v>
      </c>
      <c r="B348">
        <v>139</v>
      </c>
      <c r="C348">
        <v>46</v>
      </c>
      <c r="D348">
        <v>19</v>
      </c>
      <c r="E348">
        <v>83</v>
      </c>
      <c r="F348">
        <v>28.7</v>
      </c>
      <c r="G348">
        <v>0.65400000000000003</v>
      </c>
      <c r="H348">
        <v>22</v>
      </c>
      <c r="I348">
        <v>0</v>
      </c>
    </row>
    <row r="349" spans="1:9" x14ac:dyDescent="0.2">
      <c r="A349">
        <v>3</v>
      </c>
      <c r="B349">
        <v>116</v>
      </c>
      <c r="F349">
        <v>23.5</v>
      </c>
      <c r="G349">
        <v>0.187</v>
      </c>
      <c r="H349">
        <v>23</v>
      </c>
      <c r="I349">
        <v>0</v>
      </c>
    </row>
    <row r="350" spans="1:9" x14ac:dyDescent="0.2">
      <c r="A350">
        <v>3</v>
      </c>
      <c r="B350">
        <v>99</v>
      </c>
      <c r="C350">
        <v>62</v>
      </c>
      <c r="D350">
        <v>19</v>
      </c>
      <c r="E350">
        <v>74</v>
      </c>
      <c r="F350">
        <v>21.8</v>
      </c>
      <c r="G350">
        <v>0.27900000000000003</v>
      </c>
      <c r="H350">
        <v>26</v>
      </c>
      <c r="I350">
        <v>0</v>
      </c>
    </row>
    <row r="351" spans="1:9" x14ac:dyDescent="0.2">
      <c r="A351">
        <v>5</v>
      </c>
      <c r="C351">
        <v>80</v>
      </c>
      <c r="D351">
        <v>32</v>
      </c>
      <c r="F351">
        <v>41</v>
      </c>
      <c r="G351">
        <v>0.34599999999999997</v>
      </c>
      <c r="H351">
        <v>37</v>
      </c>
      <c r="I351">
        <v>1</v>
      </c>
    </row>
    <row r="352" spans="1:9" x14ac:dyDescent="0.2">
      <c r="A352">
        <v>4</v>
      </c>
      <c r="B352">
        <v>92</v>
      </c>
      <c r="C352">
        <v>80</v>
      </c>
      <c r="F352">
        <v>42.2</v>
      </c>
      <c r="G352">
        <v>0.23699999999999999</v>
      </c>
      <c r="H352">
        <v>29</v>
      </c>
      <c r="I352">
        <v>0</v>
      </c>
    </row>
    <row r="353" spans="1:9" x14ac:dyDescent="0.2">
      <c r="A353">
        <v>4</v>
      </c>
      <c r="B353">
        <v>137</v>
      </c>
      <c r="C353">
        <v>84</v>
      </c>
      <c r="F353">
        <v>31.2</v>
      </c>
      <c r="G353">
        <v>0.252</v>
      </c>
      <c r="H353">
        <v>30</v>
      </c>
      <c r="I353">
        <v>0</v>
      </c>
    </row>
    <row r="354" spans="1:9" x14ac:dyDescent="0.2">
      <c r="A354">
        <v>3</v>
      </c>
      <c r="B354">
        <v>61</v>
      </c>
      <c r="C354">
        <v>82</v>
      </c>
      <c r="D354">
        <v>28</v>
      </c>
      <c r="F354">
        <v>34.4</v>
      </c>
      <c r="G354">
        <v>0.24299999999999999</v>
      </c>
      <c r="H354">
        <v>46</v>
      </c>
      <c r="I354">
        <v>0</v>
      </c>
    </row>
    <row r="355" spans="1:9" x14ac:dyDescent="0.2">
      <c r="A355">
        <v>1</v>
      </c>
      <c r="B355">
        <v>90</v>
      </c>
      <c r="C355">
        <v>62</v>
      </c>
      <c r="D355">
        <v>12</v>
      </c>
      <c r="E355">
        <v>43</v>
      </c>
      <c r="F355">
        <v>27.2</v>
      </c>
      <c r="G355">
        <v>0.57999999999999996</v>
      </c>
      <c r="H355">
        <v>24</v>
      </c>
      <c r="I355">
        <v>0</v>
      </c>
    </row>
    <row r="356" spans="1:9" x14ac:dyDescent="0.2">
      <c r="A356">
        <v>3</v>
      </c>
      <c r="B356">
        <v>90</v>
      </c>
      <c r="C356">
        <v>78</v>
      </c>
      <c r="F356">
        <v>42.7</v>
      </c>
      <c r="G356">
        <v>0.55900000000000005</v>
      </c>
      <c r="H356">
        <v>21</v>
      </c>
      <c r="I356">
        <v>0</v>
      </c>
    </row>
    <row r="357" spans="1:9" x14ac:dyDescent="0.2">
      <c r="A357">
        <v>9</v>
      </c>
      <c r="B357">
        <v>165</v>
      </c>
      <c r="C357">
        <v>88</v>
      </c>
      <c r="F357">
        <v>30.4</v>
      </c>
      <c r="G357">
        <v>0.30199999999999999</v>
      </c>
      <c r="H357">
        <v>49</v>
      </c>
      <c r="I357">
        <v>1</v>
      </c>
    </row>
    <row r="358" spans="1:9" x14ac:dyDescent="0.2">
      <c r="A358">
        <v>1</v>
      </c>
      <c r="B358">
        <v>125</v>
      </c>
      <c r="C358">
        <v>50</v>
      </c>
      <c r="D358">
        <v>40</v>
      </c>
      <c r="E358">
        <v>167</v>
      </c>
      <c r="F358">
        <v>33.299999999999997</v>
      </c>
      <c r="G358">
        <v>0.96199999999999997</v>
      </c>
      <c r="H358">
        <v>28</v>
      </c>
      <c r="I358">
        <v>1</v>
      </c>
    </row>
    <row r="359" spans="1:9" x14ac:dyDescent="0.2">
      <c r="A359">
        <v>13</v>
      </c>
      <c r="B359">
        <v>129</v>
      </c>
      <c r="D359">
        <v>30</v>
      </c>
      <c r="F359">
        <v>39.9</v>
      </c>
      <c r="G359">
        <v>0.56899999999999995</v>
      </c>
      <c r="H359">
        <v>44</v>
      </c>
      <c r="I359">
        <v>1</v>
      </c>
    </row>
    <row r="360" spans="1:9" x14ac:dyDescent="0.2">
      <c r="A360">
        <v>12</v>
      </c>
      <c r="B360">
        <v>88</v>
      </c>
      <c r="C360">
        <v>74</v>
      </c>
      <c r="D360">
        <v>40</v>
      </c>
      <c r="E360">
        <v>54</v>
      </c>
      <c r="F360">
        <v>35.299999999999997</v>
      </c>
      <c r="G360">
        <v>0.378</v>
      </c>
      <c r="H360">
        <v>48</v>
      </c>
      <c r="I360">
        <v>0</v>
      </c>
    </row>
    <row r="361" spans="1:9" x14ac:dyDescent="0.2">
      <c r="A361">
        <v>1</v>
      </c>
      <c r="B361">
        <v>196</v>
      </c>
      <c r="C361">
        <v>76</v>
      </c>
      <c r="D361">
        <v>36</v>
      </c>
      <c r="E361">
        <v>249</v>
      </c>
      <c r="F361">
        <v>36.5</v>
      </c>
      <c r="G361">
        <v>0.875</v>
      </c>
      <c r="H361">
        <v>29</v>
      </c>
      <c r="I361">
        <v>1</v>
      </c>
    </row>
    <row r="362" spans="1:9" x14ac:dyDescent="0.2">
      <c r="A362">
        <v>5</v>
      </c>
      <c r="B362">
        <v>189</v>
      </c>
      <c r="C362">
        <v>64</v>
      </c>
      <c r="D362">
        <v>33</v>
      </c>
      <c r="E362">
        <v>325</v>
      </c>
      <c r="F362">
        <v>31.2</v>
      </c>
      <c r="G362">
        <v>0.58299999999999996</v>
      </c>
      <c r="H362">
        <v>29</v>
      </c>
      <c r="I362">
        <v>1</v>
      </c>
    </row>
    <row r="363" spans="1:9" x14ac:dyDescent="0.2">
      <c r="A363">
        <v>5</v>
      </c>
      <c r="B363">
        <v>158</v>
      </c>
      <c r="C363">
        <v>70</v>
      </c>
      <c r="F363">
        <v>29.8</v>
      </c>
      <c r="G363">
        <v>0.20699999999999999</v>
      </c>
      <c r="H363">
        <v>63</v>
      </c>
      <c r="I363">
        <v>0</v>
      </c>
    </row>
    <row r="364" spans="1:9" x14ac:dyDescent="0.2">
      <c r="A364">
        <v>5</v>
      </c>
      <c r="B364">
        <v>103</v>
      </c>
      <c r="C364">
        <v>108</v>
      </c>
      <c r="D364">
        <v>37</v>
      </c>
      <c r="F364">
        <v>39.200000000000003</v>
      </c>
      <c r="G364">
        <v>0.30499999999999999</v>
      </c>
      <c r="H364">
        <v>65</v>
      </c>
      <c r="I364">
        <v>0</v>
      </c>
    </row>
    <row r="365" spans="1:9" x14ac:dyDescent="0.2">
      <c r="A365">
        <v>4</v>
      </c>
      <c r="B365">
        <v>146</v>
      </c>
      <c r="C365">
        <v>78</v>
      </c>
      <c r="F365">
        <v>38.5</v>
      </c>
      <c r="G365">
        <v>0.52</v>
      </c>
      <c r="H365">
        <v>67</v>
      </c>
      <c r="I365">
        <v>1</v>
      </c>
    </row>
    <row r="366" spans="1:9" x14ac:dyDescent="0.2">
      <c r="A366">
        <v>4</v>
      </c>
      <c r="B366">
        <v>147</v>
      </c>
      <c r="C366">
        <v>74</v>
      </c>
      <c r="D366">
        <v>25</v>
      </c>
      <c r="E366">
        <v>293</v>
      </c>
      <c r="F366">
        <v>34.9</v>
      </c>
      <c r="G366">
        <v>0.38500000000000001</v>
      </c>
      <c r="H366">
        <v>30</v>
      </c>
      <c r="I366">
        <v>0</v>
      </c>
    </row>
    <row r="367" spans="1:9" x14ac:dyDescent="0.2">
      <c r="A367">
        <v>5</v>
      </c>
      <c r="B367">
        <v>99</v>
      </c>
      <c r="C367">
        <v>54</v>
      </c>
      <c r="D367">
        <v>28</v>
      </c>
      <c r="E367">
        <v>83</v>
      </c>
      <c r="F367">
        <v>34</v>
      </c>
      <c r="G367">
        <v>0.499</v>
      </c>
      <c r="H367">
        <v>30</v>
      </c>
      <c r="I367">
        <v>0</v>
      </c>
    </row>
    <row r="368" spans="1:9" x14ac:dyDescent="0.2">
      <c r="A368">
        <v>6</v>
      </c>
      <c r="B368">
        <v>124</v>
      </c>
      <c r="C368">
        <v>72</v>
      </c>
      <c r="F368">
        <v>27.6</v>
      </c>
      <c r="G368">
        <v>0.36799999999999999</v>
      </c>
      <c r="H368">
        <v>29</v>
      </c>
      <c r="I368">
        <v>1</v>
      </c>
    </row>
    <row r="369" spans="1:9" x14ac:dyDescent="0.2">
      <c r="A369">
        <v>0</v>
      </c>
      <c r="B369">
        <v>101</v>
      </c>
      <c r="C369">
        <v>64</v>
      </c>
      <c r="D369">
        <v>17</v>
      </c>
      <c r="F369">
        <v>21</v>
      </c>
      <c r="G369">
        <v>0.252</v>
      </c>
      <c r="H369">
        <v>21</v>
      </c>
      <c r="I369">
        <v>0</v>
      </c>
    </row>
    <row r="370" spans="1:9" x14ac:dyDescent="0.2">
      <c r="A370">
        <v>3</v>
      </c>
      <c r="B370">
        <v>81</v>
      </c>
      <c r="C370">
        <v>86</v>
      </c>
      <c r="D370">
        <v>16</v>
      </c>
      <c r="E370">
        <v>66</v>
      </c>
      <c r="F370">
        <v>27.5</v>
      </c>
      <c r="G370">
        <v>0.30599999999999999</v>
      </c>
      <c r="H370">
        <v>22</v>
      </c>
      <c r="I370">
        <v>0</v>
      </c>
    </row>
    <row r="371" spans="1:9" x14ac:dyDescent="0.2">
      <c r="A371">
        <v>1</v>
      </c>
      <c r="B371">
        <v>133</v>
      </c>
      <c r="C371">
        <v>102</v>
      </c>
      <c r="D371">
        <v>28</v>
      </c>
      <c r="E371">
        <v>140</v>
      </c>
      <c r="F371">
        <v>32.799999999999997</v>
      </c>
      <c r="G371">
        <v>0.23400000000000001</v>
      </c>
      <c r="H371">
        <v>45</v>
      </c>
      <c r="I371">
        <v>1</v>
      </c>
    </row>
    <row r="372" spans="1:9" x14ac:dyDescent="0.2">
      <c r="A372">
        <v>3</v>
      </c>
      <c r="B372">
        <v>173</v>
      </c>
      <c r="C372">
        <v>82</v>
      </c>
      <c r="D372">
        <v>48</v>
      </c>
      <c r="E372">
        <v>465</v>
      </c>
      <c r="F372">
        <v>38.4</v>
      </c>
      <c r="G372">
        <v>2.137</v>
      </c>
      <c r="H372">
        <v>25</v>
      </c>
      <c r="I372">
        <v>1</v>
      </c>
    </row>
    <row r="373" spans="1:9" hidden="1" x14ac:dyDescent="0.2">
      <c r="A373">
        <v>0</v>
      </c>
      <c r="B373">
        <v>118</v>
      </c>
      <c r="C373">
        <v>64</v>
      </c>
      <c r="D373">
        <v>23</v>
      </c>
      <c r="E373">
        <v>89</v>
      </c>
      <c r="G373">
        <v>1.7310000000000001</v>
      </c>
      <c r="H373">
        <v>21</v>
      </c>
      <c r="I373">
        <v>0</v>
      </c>
    </row>
    <row r="374" spans="1:9" x14ac:dyDescent="0.2">
      <c r="A374">
        <v>0</v>
      </c>
      <c r="B374">
        <v>84</v>
      </c>
      <c r="C374">
        <v>64</v>
      </c>
      <c r="D374">
        <v>22</v>
      </c>
      <c r="E374">
        <v>66</v>
      </c>
      <c r="F374">
        <v>35.799999999999997</v>
      </c>
      <c r="G374">
        <v>0.54500000000000004</v>
      </c>
      <c r="H374">
        <v>21</v>
      </c>
      <c r="I374">
        <v>0</v>
      </c>
    </row>
    <row r="375" spans="1:9" x14ac:dyDescent="0.2">
      <c r="A375">
        <v>2</v>
      </c>
      <c r="B375">
        <v>105</v>
      </c>
      <c r="C375">
        <v>58</v>
      </c>
      <c r="D375">
        <v>40</v>
      </c>
      <c r="E375">
        <v>94</v>
      </c>
      <c r="F375">
        <v>34.9</v>
      </c>
      <c r="G375">
        <v>0.22500000000000001</v>
      </c>
      <c r="H375">
        <v>25</v>
      </c>
      <c r="I375">
        <v>0</v>
      </c>
    </row>
    <row r="376" spans="1:9" x14ac:dyDescent="0.2">
      <c r="A376">
        <v>2</v>
      </c>
      <c r="B376">
        <v>122</v>
      </c>
      <c r="C376">
        <v>52</v>
      </c>
      <c r="D376">
        <v>43</v>
      </c>
      <c r="E376">
        <v>158</v>
      </c>
      <c r="F376">
        <v>36.200000000000003</v>
      </c>
      <c r="G376">
        <v>0.81599999999999995</v>
      </c>
      <c r="H376">
        <v>28</v>
      </c>
      <c r="I376">
        <v>0</v>
      </c>
    </row>
    <row r="377" spans="1:9" x14ac:dyDescent="0.2">
      <c r="A377">
        <v>12</v>
      </c>
      <c r="B377">
        <v>140</v>
      </c>
      <c r="C377">
        <v>82</v>
      </c>
      <c r="D377">
        <v>43</v>
      </c>
      <c r="E377">
        <v>325</v>
      </c>
      <c r="F377">
        <v>39.200000000000003</v>
      </c>
      <c r="G377">
        <v>0.52800000000000002</v>
      </c>
      <c r="H377">
        <v>58</v>
      </c>
      <c r="I377">
        <v>1</v>
      </c>
    </row>
    <row r="378" spans="1:9" x14ac:dyDescent="0.2">
      <c r="A378">
        <v>0</v>
      </c>
      <c r="B378">
        <v>98</v>
      </c>
      <c r="C378">
        <v>82</v>
      </c>
      <c r="D378">
        <v>15</v>
      </c>
      <c r="E378">
        <v>84</v>
      </c>
      <c r="F378">
        <v>25.2</v>
      </c>
      <c r="G378">
        <v>0.29899999999999999</v>
      </c>
      <c r="H378">
        <v>22</v>
      </c>
      <c r="I378">
        <v>0</v>
      </c>
    </row>
    <row r="379" spans="1:9" x14ac:dyDescent="0.2">
      <c r="A379">
        <v>1</v>
      </c>
      <c r="B379">
        <v>87</v>
      </c>
      <c r="C379">
        <v>60</v>
      </c>
      <c r="D379">
        <v>37</v>
      </c>
      <c r="E379">
        <v>75</v>
      </c>
      <c r="F379">
        <v>37.200000000000003</v>
      </c>
      <c r="G379">
        <v>0.50900000000000001</v>
      </c>
      <c r="H379">
        <v>22</v>
      </c>
      <c r="I379">
        <v>0</v>
      </c>
    </row>
    <row r="380" spans="1:9" x14ac:dyDescent="0.2">
      <c r="A380">
        <v>4</v>
      </c>
      <c r="B380">
        <v>156</v>
      </c>
      <c r="C380">
        <v>75</v>
      </c>
      <c r="F380">
        <v>48.3</v>
      </c>
      <c r="G380">
        <v>0.23799999999999999</v>
      </c>
      <c r="H380">
        <v>32</v>
      </c>
      <c r="I380">
        <v>1</v>
      </c>
    </row>
    <row r="381" spans="1:9" x14ac:dyDescent="0.2">
      <c r="A381">
        <v>0</v>
      </c>
      <c r="B381">
        <v>93</v>
      </c>
      <c r="C381">
        <v>100</v>
      </c>
      <c r="D381">
        <v>39</v>
      </c>
      <c r="E381">
        <v>72</v>
      </c>
      <c r="F381">
        <v>43.4</v>
      </c>
      <c r="G381">
        <v>1.0209999999999999</v>
      </c>
      <c r="H381">
        <v>35</v>
      </c>
      <c r="I381">
        <v>0</v>
      </c>
    </row>
    <row r="382" spans="1:9" x14ac:dyDescent="0.2">
      <c r="A382">
        <v>1</v>
      </c>
      <c r="B382">
        <v>107</v>
      </c>
      <c r="C382">
        <v>72</v>
      </c>
      <c r="D382">
        <v>30</v>
      </c>
      <c r="E382">
        <v>82</v>
      </c>
      <c r="F382">
        <v>30.8</v>
      </c>
      <c r="G382">
        <v>0.82099999999999995</v>
      </c>
      <c r="H382">
        <v>24</v>
      </c>
      <c r="I382">
        <v>0</v>
      </c>
    </row>
    <row r="383" spans="1:9" x14ac:dyDescent="0.2">
      <c r="A383">
        <v>0</v>
      </c>
      <c r="B383">
        <v>105</v>
      </c>
      <c r="C383">
        <v>68</v>
      </c>
      <c r="D383">
        <v>22</v>
      </c>
      <c r="F383">
        <v>20</v>
      </c>
      <c r="G383">
        <v>0.23599999999999999</v>
      </c>
      <c r="H383">
        <v>22</v>
      </c>
      <c r="I383">
        <v>0</v>
      </c>
    </row>
    <row r="384" spans="1:9" x14ac:dyDescent="0.2">
      <c r="A384">
        <v>1</v>
      </c>
      <c r="B384">
        <v>109</v>
      </c>
      <c r="C384">
        <v>60</v>
      </c>
      <c r="D384">
        <v>8</v>
      </c>
      <c r="E384">
        <v>182</v>
      </c>
      <c r="F384">
        <v>25.4</v>
      </c>
      <c r="G384">
        <v>0.94699999999999995</v>
      </c>
      <c r="H384">
        <v>21</v>
      </c>
      <c r="I384">
        <v>0</v>
      </c>
    </row>
    <row r="385" spans="1:9" x14ac:dyDescent="0.2">
      <c r="A385">
        <v>1</v>
      </c>
      <c r="B385">
        <v>90</v>
      </c>
      <c r="C385">
        <v>62</v>
      </c>
      <c r="D385">
        <v>18</v>
      </c>
      <c r="E385">
        <v>59</v>
      </c>
      <c r="F385">
        <v>25.1</v>
      </c>
      <c r="G385">
        <v>1.268</v>
      </c>
      <c r="H385">
        <v>25</v>
      </c>
      <c r="I385">
        <v>0</v>
      </c>
    </row>
    <row r="386" spans="1:9" x14ac:dyDescent="0.2">
      <c r="A386">
        <v>1</v>
      </c>
      <c r="B386">
        <v>125</v>
      </c>
      <c r="C386">
        <v>70</v>
      </c>
      <c r="D386">
        <v>24</v>
      </c>
      <c r="E386">
        <v>110</v>
      </c>
      <c r="F386">
        <v>24.3</v>
      </c>
      <c r="G386">
        <v>0.221</v>
      </c>
      <c r="H386">
        <v>25</v>
      </c>
      <c r="I386">
        <v>0</v>
      </c>
    </row>
    <row r="387" spans="1:9" x14ac:dyDescent="0.2">
      <c r="A387">
        <v>1</v>
      </c>
      <c r="B387">
        <v>119</v>
      </c>
      <c r="C387">
        <v>54</v>
      </c>
      <c r="D387">
        <v>13</v>
      </c>
      <c r="E387">
        <v>50</v>
      </c>
      <c r="F387">
        <v>22.3</v>
      </c>
      <c r="G387">
        <v>0.20499999999999999</v>
      </c>
      <c r="H387">
        <v>24</v>
      </c>
      <c r="I387">
        <v>0</v>
      </c>
    </row>
    <row r="388" spans="1:9" x14ac:dyDescent="0.2">
      <c r="A388">
        <v>5</v>
      </c>
      <c r="B388">
        <v>116</v>
      </c>
      <c r="C388">
        <v>74</v>
      </c>
      <c r="D388">
        <v>29</v>
      </c>
      <c r="F388">
        <v>32.299999999999997</v>
      </c>
      <c r="G388">
        <v>0.66</v>
      </c>
      <c r="H388">
        <v>35</v>
      </c>
      <c r="I388">
        <v>1</v>
      </c>
    </row>
    <row r="389" spans="1:9" x14ac:dyDescent="0.2">
      <c r="A389">
        <v>8</v>
      </c>
      <c r="B389">
        <v>105</v>
      </c>
      <c r="C389">
        <v>100</v>
      </c>
      <c r="D389">
        <v>36</v>
      </c>
      <c r="F389">
        <v>43.3</v>
      </c>
      <c r="G389">
        <v>0.23899999999999999</v>
      </c>
      <c r="H389">
        <v>45</v>
      </c>
      <c r="I389">
        <v>1</v>
      </c>
    </row>
    <row r="390" spans="1:9" x14ac:dyDescent="0.2">
      <c r="A390">
        <v>5</v>
      </c>
      <c r="B390">
        <v>144</v>
      </c>
      <c r="C390">
        <v>82</v>
      </c>
      <c r="D390">
        <v>26</v>
      </c>
      <c r="E390">
        <v>285</v>
      </c>
      <c r="F390">
        <v>32</v>
      </c>
      <c r="G390">
        <v>0.45200000000000001</v>
      </c>
      <c r="H390">
        <v>58</v>
      </c>
      <c r="I390">
        <v>1</v>
      </c>
    </row>
    <row r="391" spans="1:9" x14ac:dyDescent="0.2">
      <c r="A391">
        <v>3</v>
      </c>
      <c r="B391">
        <v>100</v>
      </c>
      <c r="C391">
        <v>68</v>
      </c>
      <c r="D391">
        <v>23</v>
      </c>
      <c r="E391">
        <v>81</v>
      </c>
      <c r="F391">
        <v>31.6</v>
      </c>
      <c r="G391">
        <v>0.94899999999999995</v>
      </c>
      <c r="H391">
        <v>28</v>
      </c>
      <c r="I391">
        <v>0</v>
      </c>
    </row>
    <row r="392" spans="1:9" x14ac:dyDescent="0.2">
      <c r="A392">
        <v>1</v>
      </c>
      <c r="B392">
        <v>100</v>
      </c>
      <c r="C392">
        <v>66</v>
      </c>
      <c r="D392">
        <v>29</v>
      </c>
      <c r="E392">
        <v>196</v>
      </c>
      <c r="F392">
        <v>32</v>
      </c>
      <c r="G392">
        <v>0.44400000000000001</v>
      </c>
      <c r="H392">
        <v>42</v>
      </c>
      <c r="I392">
        <v>0</v>
      </c>
    </row>
    <row r="393" spans="1:9" x14ac:dyDescent="0.2">
      <c r="A393">
        <v>5</v>
      </c>
      <c r="B393">
        <v>166</v>
      </c>
      <c r="C393">
        <v>76</v>
      </c>
      <c r="F393">
        <v>45.7</v>
      </c>
      <c r="G393">
        <v>0.34</v>
      </c>
      <c r="H393">
        <v>27</v>
      </c>
      <c r="I393">
        <v>1</v>
      </c>
    </row>
    <row r="394" spans="1:9" x14ac:dyDescent="0.2">
      <c r="A394">
        <v>1</v>
      </c>
      <c r="B394">
        <v>131</v>
      </c>
      <c r="C394">
        <v>64</v>
      </c>
      <c r="D394">
        <v>14</v>
      </c>
      <c r="E394">
        <v>415</v>
      </c>
      <c r="F394">
        <v>23.7</v>
      </c>
      <c r="G394">
        <v>0.38900000000000001</v>
      </c>
      <c r="H394">
        <v>21</v>
      </c>
      <c r="I394">
        <v>0</v>
      </c>
    </row>
    <row r="395" spans="1:9" x14ac:dyDescent="0.2">
      <c r="A395">
        <v>4</v>
      </c>
      <c r="B395">
        <v>116</v>
      </c>
      <c r="C395">
        <v>72</v>
      </c>
      <c r="D395">
        <v>12</v>
      </c>
      <c r="E395">
        <v>87</v>
      </c>
      <c r="F395">
        <v>22.1</v>
      </c>
      <c r="G395">
        <v>0.46300000000000002</v>
      </c>
      <c r="H395">
        <v>37</v>
      </c>
      <c r="I395">
        <v>0</v>
      </c>
    </row>
    <row r="396" spans="1:9" x14ac:dyDescent="0.2">
      <c r="A396">
        <v>4</v>
      </c>
      <c r="B396">
        <v>158</v>
      </c>
      <c r="C396">
        <v>78</v>
      </c>
      <c r="F396">
        <v>32.9</v>
      </c>
      <c r="G396">
        <v>0.80300000000000005</v>
      </c>
      <c r="H396">
        <v>31</v>
      </c>
      <c r="I396">
        <v>1</v>
      </c>
    </row>
    <row r="397" spans="1:9" x14ac:dyDescent="0.2">
      <c r="A397">
        <v>2</v>
      </c>
      <c r="B397">
        <v>127</v>
      </c>
      <c r="C397">
        <v>58</v>
      </c>
      <c r="D397">
        <v>24</v>
      </c>
      <c r="E397">
        <v>275</v>
      </c>
      <c r="F397">
        <v>27.7</v>
      </c>
      <c r="G397">
        <v>1.6</v>
      </c>
      <c r="H397">
        <v>25</v>
      </c>
      <c r="I397">
        <v>0</v>
      </c>
    </row>
    <row r="398" spans="1:9" x14ac:dyDescent="0.2">
      <c r="A398">
        <v>3</v>
      </c>
      <c r="B398">
        <v>96</v>
      </c>
      <c r="C398">
        <v>56</v>
      </c>
      <c r="D398">
        <v>34</v>
      </c>
      <c r="E398">
        <v>115</v>
      </c>
      <c r="F398">
        <v>24.7</v>
      </c>
      <c r="G398">
        <v>0.94399999999999995</v>
      </c>
      <c r="H398">
        <v>39</v>
      </c>
      <c r="I398">
        <v>0</v>
      </c>
    </row>
    <row r="399" spans="1:9" x14ac:dyDescent="0.2">
      <c r="A399">
        <v>0</v>
      </c>
      <c r="B399">
        <v>131</v>
      </c>
      <c r="C399">
        <v>66</v>
      </c>
      <c r="D399">
        <v>40</v>
      </c>
      <c r="F399">
        <v>34.299999999999997</v>
      </c>
      <c r="G399">
        <v>0.19600000000000001</v>
      </c>
      <c r="H399">
        <v>22</v>
      </c>
      <c r="I399">
        <v>1</v>
      </c>
    </row>
    <row r="400" spans="1:9" x14ac:dyDescent="0.2">
      <c r="A400">
        <v>3</v>
      </c>
      <c r="B400">
        <v>82</v>
      </c>
      <c r="C400">
        <v>70</v>
      </c>
      <c r="F400">
        <v>21.1</v>
      </c>
      <c r="G400">
        <v>0.38900000000000001</v>
      </c>
      <c r="H400">
        <v>25</v>
      </c>
      <c r="I400">
        <v>0</v>
      </c>
    </row>
    <row r="401" spans="1:9" x14ac:dyDescent="0.2">
      <c r="A401">
        <v>3</v>
      </c>
      <c r="B401">
        <v>193</v>
      </c>
      <c r="C401">
        <v>70</v>
      </c>
      <c r="D401">
        <v>31</v>
      </c>
      <c r="F401">
        <v>34.9</v>
      </c>
      <c r="G401">
        <v>0.24099999999999999</v>
      </c>
      <c r="H401">
        <v>25</v>
      </c>
      <c r="I401">
        <v>1</v>
      </c>
    </row>
    <row r="402" spans="1:9" x14ac:dyDescent="0.2">
      <c r="A402">
        <v>4</v>
      </c>
      <c r="B402">
        <v>95</v>
      </c>
      <c r="C402">
        <v>64</v>
      </c>
      <c r="F402">
        <v>32</v>
      </c>
      <c r="G402">
        <v>0.161</v>
      </c>
      <c r="H402">
        <v>31</v>
      </c>
      <c r="I402">
        <v>1</v>
      </c>
    </row>
    <row r="403" spans="1:9" x14ac:dyDescent="0.2">
      <c r="A403">
        <v>6</v>
      </c>
      <c r="B403">
        <v>137</v>
      </c>
      <c r="C403">
        <v>61</v>
      </c>
      <c r="F403">
        <v>24.2</v>
      </c>
      <c r="G403">
        <v>0.151</v>
      </c>
      <c r="H403">
        <v>55</v>
      </c>
      <c r="I403">
        <v>0</v>
      </c>
    </row>
    <row r="404" spans="1:9" x14ac:dyDescent="0.2">
      <c r="A404">
        <v>5</v>
      </c>
      <c r="B404">
        <v>136</v>
      </c>
      <c r="C404">
        <v>84</v>
      </c>
      <c r="D404">
        <v>41</v>
      </c>
      <c r="E404">
        <v>88</v>
      </c>
      <c r="F404">
        <v>35</v>
      </c>
      <c r="G404">
        <v>0.28599999999999998</v>
      </c>
      <c r="H404">
        <v>35</v>
      </c>
      <c r="I404">
        <v>1</v>
      </c>
    </row>
    <row r="405" spans="1:9" x14ac:dyDescent="0.2">
      <c r="A405">
        <v>9</v>
      </c>
      <c r="B405">
        <v>72</v>
      </c>
      <c r="C405">
        <v>78</v>
      </c>
      <c r="D405">
        <v>25</v>
      </c>
      <c r="F405">
        <v>31.6</v>
      </c>
      <c r="G405">
        <v>0.28000000000000003</v>
      </c>
      <c r="H405">
        <v>38</v>
      </c>
      <c r="I405">
        <v>0</v>
      </c>
    </row>
    <row r="406" spans="1:9" x14ac:dyDescent="0.2">
      <c r="A406">
        <v>5</v>
      </c>
      <c r="B406">
        <v>168</v>
      </c>
      <c r="C406">
        <v>64</v>
      </c>
      <c r="F406">
        <v>32.9</v>
      </c>
      <c r="G406">
        <v>0.13500000000000001</v>
      </c>
      <c r="H406">
        <v>41</v>
      </c>
      <c r="I406">
        <v>1</v>
      </c>
    </row>
    <row r="407" spans="1:9" x14ac:dyDescent="0.2">
      <c r="A407">
        <v>2</v>
      </c>
      <c r="B407">
        <v>123</v>
      </c>
      <c r="C407">
        <v>48</v>
      </c>
      <c r="D407">
        <v>32</v>
      </c>
      <c r="E407">
        <v>165</v>
      </c>
      <c r="F407">
        <v>42.1</v>
      </c>
      <c r="G407">
        <v>0.52</v>
      </c>
      <c r="H407">
        <v>26</v>
      </c>
      <c r="I407">
        <v>0</v>
      </c>
    </row>
    <row r="408" spans="1:9" x14ac:dyDescent="0.2">
      <c r="A408">
        <v>4</v>
      </c>
      <c r="B408">
        <v>115</v>
      </c>
      <c r="C408">
        <v>72</v>
      </c>
      <c r="F408">
        <v>28.9</v>
      </c>
      <c r="G408">
        <v>0.376</v>
      </c>
      <c r="H408">
        <v>46</v>
      </c>
      <c r="I408">
        <v>1</v>
      </c>
    </row>
    <row r="409" spans="1:9" x14ac:dyDescent="0.2">
      <c r="A409">
        <v>0</v>
      </c>
      <c r="B409">
        <v>101</v>
      </c>
      <c r="C409">
        <v>62</v>
      </c>
      <c r="F409">
        <v>21.9</v>
      </c>
      <c r="G409">
        <v>0.33600000000000002</v>
      </c>
      <c r="H409">
        <v>25</v>
      </c>
      <c r="I409">
        <v>0</v>
      </c>
    </row>
    <row r="410" spans="1:9" x14ac:dyDescent="0.2">
      <c r="A410">
        <v>8</v>
      </c>
      <c r="B410">
        <v>197</v>
      </c>
      <c r="C410">
        <v>74</v>
      </c>
      <c r="F410">
        <v>25.9</v>
      </c>
      <c r="G410">
        <v>1.1910000000000001</v>
      </c>
      <c r="H410">
        <v>39</v>
      </c>
      <c r="I410">
        <v>1</v>
      </c>
    </row>
    <row r="411" spans="1:9" x14ac:dyDescent="0.2">
      <c r="A411">
        <v>1</v>
      </c>
      <c r="B411">
        <v>172</v>
      </c>
      <c r="C411">
        <v>68</v>
      </c>
      <c r="D411">
        <v>49</v>
      </c>
      <c r="E411">
        <v>579</v>
      </c>
      <c r="F411">
        <v>42.4</v>
      </c>
      <c r="G411">
        <v>0.70199999999999996</v>
      </c>
      <c r="H411">
        <v>28</v>
      </c>
      <c r="I411">
        <v>1</v>
      </c>
    </row>
    <row r="412" spans="1:9" x14ac:dyDescent="0.2">
      <c r="A412">
        <v>6</v>
      </c>
      <c r="B412">
        <v>102</v>
      </c>
      <c r="C412">
        <v>90</v>
      </c>
      <c r="D412">
        <v>39</v>
      </c>
      <c r="F412">
        <v>35.700000000000003</v>
      </c>
      <c r="G412">
        <v>0.67400000000000004</v>
      </c>
      <c r="H412">
        <v>28</v>
      </c>
      <c r="I412">
        <v>0</v>
      </c>
    </row>
    <row r="413" spans="1:9" x14ac:dyDescent="0.2">
      <c r="A413">
        <v>1</v>
      </c>
      <c r="B413">
        <v>112</v>
      </c>
      <c r="C413">
        <v>72</v>
      </c>
      <c r="D413">
        <v>30</v>
      </c>
      <c r="E413">
        <v>176</v>
      </c>
      <c r="F413">
        <v>34.4</v>
      </c>
      <c r="G413">
        <v>0.52800000000000002</v>
      </c>
      <c r="H413">
        <v>25</v>
      </c>
      <c r="I413">
        <v>0</v>
      </c>
    </row>
    <row r="414" spans="1:9" x14ac:dyDescent="0.2">
      <c r="A414">
        <v>1</v>
      </c>
      <c r="B414">
        <v>143</v>
      </c>
      <c r="C414">
        <v>84</v>
      </c>
      <c r="D414">
        <v>23</v>
      </c>
      <c r="E414">
        <v>310</v>
      </c>
      <c r="F414">
        <v>42.4</v>
      </c>
      <c r="G414">
        <v>1.0760000000000001</v>
      </c>
      <c r="H414">
        <v>22</v>
      </c>
      <c r="I414">
        <v>0</v>
      </c>
    </row>
    <row r="415" spans="1:9" x14ac:dyDescent="0.2">
      <c r="A415">
        <v>1</v>
      </c>
      <c r="B415">
        <v>143</v>
      </c>
      <c r="C415">
        <v>74</v>
      </c>
      <c r="D415">
        <v>22</v>
      </c>
      <c r="E415">
        <v>61</v>
      </c>
      <c r="F415">
        <v>26.2</v>
      </c>
      <c r="G415">
        <v>0.25600000000000001</v>
      </c>
      <c r="H415">
        <v>21</v>
      </c>
      <c r="I415">
        <v>0</v>
      </c>
    </row>
    <row r="416" spans="1:9" x14ac:dyDescent="0.2">
      <c r="A416">
        <v>0</v>
      </c>
      <c r="B416">
        <v>138</v>
      </c>
      <c r="C416">
        <v>60</v>
      </c>
      <c r="D416">
        <v>35</v>
      </c>
      <c r="E416">
        <v>167</v>
      </c>
      <c r="F416">
        <v>34.6</v>
      </c>
      <c r="G416">
        <v>0.53400000000000003</v>
      </c>
      <c r="H416">
        <v>21</v>
      </c>
      <c r="I416">
        <v>1</v>
      </c>
    </row>
    <row r="417" spans="1:9" x14ac:dyDescent="0.2">
      <c r="A417">
        <v>3</v>
      </c>
      <c r="B417">
        <v>173</v>
      </c>
      <c r="C417">
        <v>84</v>
      </c>
      <c r="D417">
        <v>33</v>
      </c>
      <c r="E417">
        <v>474</v>
      </c>
      <c r="F417">
        <v>35.700000000000003</v>
      </c>
      <c r="G417">
        <v>0.25800000000000001</v>
      </c>
      <c r="H417">
        <v>22</v>
      </c>
      <c r="I417">
        <v>1</v>
      </c>
    </row>
    <row r="418" spans="1:9" x14ac:dyDescent="0.2">
      <c r="A418">
        <v>1</v>
      </c>
      <c r="B418">
        <v>97</v>
      </c>
      <c r="C418">
        <v>68</v>
      </c>
      <c r="D418">
        <v>21</v>
      </c>
      <c r="F418">
        <v>27.2</v>
      </c>
      <c r="G418">
        <v>1.095</v>
      </c>
      <c r="H418">
        <v>22</v>
      </c>
      <c r="I418">
        <v>0</v>
      </c>
    </row>
    <row r="419" spans="1:9" x14ac:dyDescent="0.2">
      <c r="A419">
        <v>4</v>
      </c>
      <c r="B419">
        <v>144</v>
      </c>
      <c r="C419">
        <v>82</v>
      </c>
      <c r="D419">
        <v>32</v>
      </c>
      <c r="F419">
        <v>38.5</v>
      </c>
      <c r="G419">
        <v>0.55400000000000005</v>
      </c>
      <c r="H419">
        <v>37</v>
      </c>
      <c r="I419">
        <v>1</v>
      </c>
    </row>
    <row r="420" spans="1:9" x14ac:dyDescent="0.2">
      <c r="A420">
        <v>1</v>
      </c>
      <c r="B420">
        <v>83</v>
      </c>
      <c r="C420">
        <v>68</v>
      </c>
      <c r="F420">
        <v>18.2</v>
      </c>
      <c r="G420">
        <v>0.624</v>
      </c>
      <c r="H420">
        <v>27</v>
      </c>
      <c r="I420">
        <v>0</v>
      </c>
    </row>
    <row r="421" spans="1:9" x14ac:dyDescent="0.2">
      <c r="A421">
        <v>3</v>
      </c>
      <c r="B421">
        <v>129</v>
      </c>
      <c r="C421">
        <v>64</v>
      </c>
      <c r="D421">
        <v>29</v>
      </c>
      <c r="E421">
        <v>115</v>
      </c>
      <c r="F421">
        <v>26.4</v>
      </c>
      <c r="G421">
        <v>0.219</v>
      </c>
      <c r="H421">
        <v>28</v>
      </c>
      <c r="I421">
        <v>1</v>
      </c>
    </row>
    <row r="422" spans="1:9" x14ac:dyDescent="0.2">
      <c r="A422">
        <v>1</v>
      </c>
      <c r="B422">
        <v>119</v>
      </c>
      <c r="C422">
        <v>88</v>
      </c>
      <c r="D422">
        <v>41</v>
      </c>
      <c r="E422">
        <v>170</v>
      </c>
      <c r="F422">
        <v>45.3</v>
      </c>
      <c r="G422">
        <v>0.50700000000000001</v>
      </c>
      <c r="H422">
        <v>26</v>
      </c>
      <c r="I422">
        <v>0</v>
      </c>
    </row>
    <row r="423" spans="1:9" x14ac:dyDescent="0.2">
      <c r="A423">
        <v>2</v>
      </c>
      <c r="B423">
        <v>94</v>
      </c>
      <c r="C423">
        <v>68</v>
      </c>
      <c r="D423">
        <v>18</v>
      </c>
      <c r="E423">
        <v>76</v>
      </c>
      <c r="F423">
        <v>26</v>
      </c>
      <c r="G423">
        <v>0.56100000000000005</v>
      </c>
      <c r="H423">
        <v>21</v>
      </c>
      <c r="I423">
        <v>0</v>
      </c>
    </row>
    <row r="424" spans="1:9" x14ac:dyDescent="0.2">
      <c r="A424">
        <v>0</v>
      </c>
      <c r="B424">
        <v>102</v>
      </c>
      <c r="C424">
        <v>64</v>
      </c>
      <c r="D424">
        <v>46</v>
      </c>
      <c r="E424">
        <v>78</v>
      </c>
      <c r="F424">
        <v>40.6</v>
      </c>
      <c r="G424">
        <v>0.496</v>
      </c>
      <c r="H424">
        <v>21</v>
      </c>
      <c r="I424">
        <v>0</v>
      </c>
    </row>
    <row r="425" spans="1:9" x14ac:dyDescent="0.2">
      <c r="A425">
        <v>2</v>
      </c>
      <c r="B425">
        <v>115</v>
      </c>
      <c r="C425">
        <v>64</v>
      </c>
      <c r="D425">
        <v>22</v>
      </c>
      <c r="F425">
        <v>30.8</v>
      </c>
      <c r="G425">
        <v>0.42099999999999999</v>
      </c>
      <c r="H425">
        <v>21</v>
      </c>
      <c r="I425">
        <v>0</v>
      </c>
    </row>
    <row r="426" spans="1:9" x14ac:dyDescent="0.2">
      <c r="A426">
        <v>8</v>
      </c>
      <c r="B426">
        <v>151</v>
      </c>
      <c r="C426">
        <v>78</v>
      </c>
      <c r="D426">
        <v>32</v>
      </c>
      <c r="E426">
        <v>210</v>
      </c>
      <c r="F426">
        <v>42.9</v>
      </c>
      <c r="G426">
        <v>0.51600000000000001</v>
      </c>
      <c r="H426">
        <v>36</v>
      </c>
      <c r="I426">
        <v>1</v>
      </c>
    </row>
    <row r="427" spans="1:9" x14ac:dyDescent="0.2">
      <c r="A427">
        <v>4</v>
      </c>
      <c r="B427">
        <v>184</v>
      </c>
      <c r="C427">
        <v>78</v>
      </c>
      <c r="D427">
        <v>39</v>
      </c>
      <c r="E427">
        <v>277</v>
      </c>
      <c r="F427">
        <v>37</v>
      </c>
      <c r="G427">
        <v>0.26400000000000001</v>
      </c>
      <c r="H427">
        <v>31</v>
      </c>
      <c r="I427">
        <v>1</v>
      </c>
    </row>
    <row r="428" spans="1:9" hidden="1" x14ac:dyDescent="0.2">
      <c r="A428">
        <v>0</v>
      </c>
      <c r="B428">
        <v>94</v>
      </c>
      <c r="G428">
        <v>0.25600000000000001</v>
      </c>
      <c r="H428">
        <v>25</v>
      </c>
      <c r="I428">
        <v>0</v>
      </c>
    </row>
    <row r="429" spans="1:9" x14ac:dyDescent="0.2">
      <c r="A429">
        <v>1</v>
      </c>
      <c r="B429">
        <v>181</v>
      </c>
      <c r="C429">
        <v>64</v>
      </c>
      <c r="D429">
        <v>30</v>
      </c>
      <c r="E429">
        <v>180</v>
      </c>
      <c r="F429">
        <v>34.1</v>
      </c>
      <c r="G429">
        <v>0.32800000000000001</v>
      </c>
      <c r="H429">
        <v>38</v>
      </c>
      <c r="I429">
        <v>1</v>
      </c>
    </row>
    <row r="430" spans="1:9" x14ac:dyDescent="0.2">
      <c r="A430">
        <v>0</v>
      </c>
      <c r="B430">
        <v>135</v>
      </c>
      <c r="C430">
        <v>94</v>
      </c>
      <c r="D430">
        <v>46</v>
      </c>
      <c r="E430">
        <v>145</v>
      </c>
      <c r="F430">
        <v>40.6</v>
      </c>
      <c r="G430">
        <v>0.28399999999999997</v>
      </c>
      <c r="H430">
        <v>26</v>
      </c>
      <c r="I430">
        <v>0</v>
      </c>
    </row>
    <row r="431" spans="1:9" x14ac:dyDescent="0.2">
      <c r="A431">
        <v>1</v>
      </c>
      <c r="B431">
        <v>95</v>
      </c>
      <c r="C431">
        <v>82</v>
      </c>
      <c r="D431">
        <v>25</v>
      </c>
      <c r="E431">
        <v>180</v>
      </c>
      <c r="F431">
        <v>35</v>
      </c>
      <c r="G431">
        <v>0.23300000000000001</v>
      </c>
      <c r="H431">
        <v>43</v>
      </c>
      <c r="I431">
        <v>1</v>
      </c>
    </row>
    <row r="432" spans="1:9" x14ac:dyDescent="0.2">
      <c r="A432">
        <v>2</v>
      </c>
      <c r="B432">
        <v>99</v>
      </c>
      <c r="F432">
        <v>22.2</v>
      </c>
      <c r="G432">
        <v>0.108</v>
      </c>
      <c r="H432">
        <v>23</v>
      </c>
      <c r="I432">
        <v>0</v>
      </c>
    </row>
    <row r="433" spans="1:9" x14ac:dyDescent="0.2">
      <c r="A433">
        <v>3</v>
      </c>
      <c r="B433">
        <v>89</v>
      </c>
      <c r="C433">
        <v>74</v>
      </c>
      <c r="D433">
        <v>16</v>
      </c>
      <c r="E433">
        <v>85</v>
      </c>
      <c r="F433">
        <v>30.4</v>
      </c>
      <c r="G433">
        <v>0.55100000000000005</v>
      </c>
      <c r="H433">
        <v>38</v>
      </c>
      <c r="I433">
        <v>0</v>
      </c>
    </row>
    <row r="434" spans="1:9" x14ac:dyDescent="0.2">
      <c r="A434">
        <v>1</v>
      </c>
      <c r="B434">
        <v>80</v>
      </c>
      <c r="C434">
        <v>74</v>
      </c>
      <c r="D434">
        <v>11</v>
      </c>
      <c r="E434">
        <v>60</v>
      </c>
      <c r="F434">
        <v>30</v>
      </c>
      <c r="G434">
        <v>0.52700000000000002</v>
      </c>
      <c r="H434">
        <v>22</v>
      </c>
      <c r="I434">
        <v>0</v>
      </c>
    </row>
    <row r="435" spans="1:9" x14ac:dyDescent="0.2">
      <c r="A435">
        <v>2</v>
      </c>
      <c r="B435">
        <v>139</v>
      </c>
      <c r="C435">
        <v>75</v>
      </c>
      <c r="F435">
        <v>25.6</v>
      </c>
      <c r="G435">
        <v>0.16700000000000001</v>
      </c>
      <c r="H435">
        <v>29</v>
      </c>
      <c r="I435">
        <v>0</v>
      </c>
    </row>
    <row r="436" spans="1:9" x14ac:dyDescent="0.2">
      <c r="A436">
        <v>1</v>
      </c>
      <c r="B436">
        <v>90</v>
      </c>
      <c r="C436">
        <v>68</v>
      </c>
      <c r="D436">
        <v>8</v>
      </c>
      <c r="F436">
        <v>24.5</v>
      </c>
      <c r="G436">
        <v>1.1379999999999999</v>
      </c>
      <c r="H436">
        <v>36</v>
      </c>
      <c r="I436">
        <v>0</v>
      </c>
    </row>
    <row r="437" spans="1:9" x14ac:dyDescent="0.2">
      <c r="A437">
        <v>0</v>
      </c>
      <c r="B437">
        <v>141</v>
      </c>
      <c r="F437">
        <v>42.4</v>
      </c>
      <c r="G437">
        <v>0.20499999999999999</v>
      </c>
      <c r="H437">
        <v>29</v>
      </c>
      <c r="I437">
        <v>1</v>
      </c>
    </row>
    <row r="438" spans="1:9" x14ac:dyDescent="0.2">
      <c r="A438">
        <v>12</v>
      </c>
      <c r="B438">
        <v>140</v>
      </c>
      <c r="C438">
        <v>85</v>
      </c>
      <c r="D438">
        <v>33</v>
      </c>
      <c r="F438">
        <v>37.4</v>
      </c>
      <c r="G438">
        <v>0.24399999999999999</v>
      </c>
      <c r="H438">
        <v>41</v>
      </c>
      <c r="I438">
        <v>0</v>
      </c>
    </row>
    <row r="439" spans="1:9" x14ac:dyDescent="0.2">
      <c r="A439">
        <v>5</v>
      </c>
      <c r="B439">
        <v>147</v>
      </c>
      <c r="C439">
        <v>75</v>
      </c>
      <c r="F439">
        <v>29.9</v>
      </c>
      <c r="G439">
        <v>0.434</v>
      </c>
      <c r="H439">
        <v>28</v>
      </c>
      <c r="I439">
        <v>0</v>
      </c>
    </row>
    <row r="440" spans="1:9" x14ac:dyDescent="0.2">
      <c r="A440">
        <v>1</v>
      </c>
      <c r="B440">
        <v>97</v>
      </c>
      <c r="C440">
        <v>70</v>
      </c>
      <c r="D440">
        <v>15</v>
      </c>
      <c r="F440">
        <v>18.2</v>
      </c>
      <c r="G440">
        <v>0.14699999999999999</v>
      </c>
      <c r="H440">
        <v>21</v>
      </c>
      <c r="I440">
        <v>0</v>
      </c>
    </row>
    <row r="441" spans="1:9" x14ac:dyDescent="0.2">
      <c r="A441">
        <v>6</v>
      </c>
      <c r="B441">
        <v>107</v>
      </c>
      <c r="C441">
        <v>88</v>
      </c>
      <c r="F441">
        <v>36.799999999999997</v>
      </c>
      <c r="G441">
        <v>0.72699999999999998</v>
      </c>
      <c r="H441">
        <v>31</v>
      </c>
      <c r="I441">
        <v>0</v>
      </c>
    </row>
    <row r="442" spans="1:9" x14ac:dyDescent="0.2">
      <c r="A442">
        <v>0</v>
      </c>
      <c r="B442">
        <v>189</v>
      </c>
      <c r="C442">
        <v>104</v>
      </c>
      <c r="D442">
        <v>25</v>
      </c>
      <c r="F442">
        <v>34.299999999999997</v>
      </c>
      <c r="G442">
        <v>0.435</v>
      </c>
      <c r="H442">
        <v>41</v>
      </c>
      <c r="I442">
        <v>1</v>
      </c>
    </row>
    <row r="443" spans="1:9" x14ac:dyDescent="0.2">
      <c r="A443">
        <v>2</v>
      </c>
      <c r="B443">
        <v>83</v>
      </c>
      <c r="C443">
        <v>66</v>
      </c>
      <c r="D443">
        <v>23</v>
      </c>
      <c r="E443">
        <v>50</v>
      </c>
      <c r="F443">
        <v>32.200000000000003</v>
      </c>
      <c r="G443">
        <v>0.497</v>
      </c>
      <c r="H443">
        <v>22</v>
      </c>
      <c r="I443">
        <v>0</v>
      </c>
    </row>
    <row r="444" spans="1:9" x14ac:dyDescent="0.2">
      <c r="A444">
        <v>4</v>
      </c>
      <c r="B444">
        <v>117</v>
      </c>
      <c r="C444">
        <v>64</v>
      </c>
      <c r="D444">
        <v>27</v>
      </c>
      <c r="E444">
        <v>120</v>
      </c>
      <c r="F444">
        <v>33.200000000000003</v>
      </c>
      <c r="G444">
        <v>0.23</v>
      </c>
      <c r="H444">
        <v>24</v>
      </c>
      <c r="I444">
        <v>0</v>
      </c>
    </row>
    <row r="445" spans="1:9" x14ac:dyDescent="0.2">
      <c r="A445">
        <v>8</v>
      </c>
      <c r="B445">
        <v>108</v>
      </c>
      <c r="C445">
        <v>70</v>
      </c>
      <c r="F445">
        <v>30.5</v>
      </c>
      <c r="G445">
        <v>0.95499999999999996</v>
      </c>
      <c r="H445">
        <v>33</v>
      </c>
      <c r="I445">
        <v>1</v>
      </c>
    </row>
    <row r="446" spans="1:9" x14ac:dyDescent="0.2">
      <c r="A446">
        <v>4</v>
      </c>
      <c r="B446">
        <v>117</v>
      </c>
      <c r="C446">
        <v>62</v>
      </c>
      <c r="D446">
        <v>12</v>
      </c>
      <c r="F446">
        <v>29.7</v>
      </c>
      <c r="G446">
        <v>0.38</v>
      </c>
      <c r="H446">
        <v>30</v>
      </c>
      <c r="I446">
        <v>1</v>
      </c>
    </row>
    <row r="447" spans="1:9" x14ac:dyDescent="0.2">
      <c r="A447">
        <v>0</v>
      </c>
      <c r="B447">
        <v>180</v>
      </c>
      <c r="C447">
        <v>78</v>
      </c>
      <c r="D447">
        <v>63</v>
      </c>
      <c r="E447">
        <v>14</v>
      </c>
      <c r="F447">
        <v>59.4</v>
      </c>
      <c r="G447">
        <v>2.42</v>
      </c>
      <c r="H447">
        <v>25</v>
      </c>
      <c r="I447">
        <v>1</v>
      </c>
    </row>
    <row r="448" spans="1:9" x14ac:dyDescent="0.2">
      <c r="A448">
        <v>1</v>
      </c>
      <c r="B448">
        <v>100</v>
      </c>
      <c r="C448">
        <v>72</v>
      </c>
      <c r="D448">
        <v>12</v>
      </c>
      <c r="E448">
        <v>70</v>
      </c>
      <c r="F448">
        <v>25.3</v>
      </c>
      <c r="G448">
        <v>0.65800000000000003</v>
      </c>
      <c r="H448">
        <v>28</v>
      </c>
      <c r="I448">
        <v>0</v>
      </c>
    </row>
    <row r="449" spans="1:9" x14ac:dyDescent="0.2">
      <c r="A449">
        <v>0</v>
      </c>
      <c r="B449">
        <v>95</v>
      </c>
      <c r="C449">
        <v>80</v>
      </c>
      <c r="D449">
        <v>45</v>
      </c>
      <c r="E449">
        <v>92</v>
      </c>
      <c r="F449">
        <v>36.5</v>
      </c>
      <c r="G449">
        <v>0.33</v>
      </c>
      <c r="H449">
        <v>26</v>
      </c>
      <c r="I449">
        <v>0</v>
      </c>
    </row>
    <row r="450" spans="1:9" x14ac:dyDescent="0.2">
      <c r="A450">
        <v>0</v>
      </c>
      <c r="B450">
        <v>104</v>
      </c>
      <c r="C450">
        <v>64</v>
      </c>
      <c r="D450">
        <v>37</v>
      </c>
      <c r="E450">
        <v>64</v>
      </c>
      <c r="F450">
        <v>33.6</v>
      </c>
      <c r="G450">
        <v>0.51</v>
      </c>
      <c r="H450">
        <v>22</v>
      </c>
      <c r="I450">
        <v>1</v>
      </c>
    </row>
    <row r="451" spans="1:9" x14ac:dyDescent="0.2">
      <c r="A451">
        <v>0</v>
      </c>
      <c r="B451">
        <v>120</v>
      </c>
      <c r="C451">
        <v>74</v>
      </c>
      <c r="D451">
        <v>18</v>
      </c>
      <c r="E451">
        <v>63</v>
      </c>
      <c r="F451">
        <v>30.5</v>
      </c>
      <c r="G451">
        <v>0.28499999999999998</v>
      </c>
      <c r="H451">
        <v>26</v>
      </c>
      <c r="I451">
        <v>0</v>
      </c>
    </row>
    <row r="452" spans="1:9" x14ac:dyDescent="0.2">
      <c r="A452">
        <v>1</v>
      </c>
      <c r="B452">
        <v>82</v>
      </c>
      <c r="C452">
        <v>64</v>
      </c>
      <c r="D452">
        <v>13</v>
      </c>
      <c r="E452">
        <v>95</v>
      </c>
      <c r="F452">
        <v>21.2</v>
      </c>
      <c r="G452">
        <v>0.41499999999999998</v>
      </c>
      <c r="H452">
        <v>23</v>
      </c>
      <c r="I452">
        <v>0</v>
      </c>
    </row>
    <row r="453" spans="1:9" x14ac:dyDescent="0.2">
      <c r="A453">
        <v>2</v>
      </c>
      <c r="B453">
        <v>134</v>
      </c>
      <c r="C453">
        <v>70</v>
      </c>
      <c r="F453">
        <v>28.9</v>
      </c>
      <c r="G453">
        <v>0.54200000000000004</v>
      </c>
      <c r="H453">
        <v>23</v>
      </c>
      <c r="I453">
        <v>1</v>
      </c>
    </row>
    <row r="454" spans="1:9" x14ac:dyDescent="0.2">
      <c r="A454">
        <v>0</v>
      </c>
      <c r="B454">
        <v>91</v>
      </c>
      <c r="C454">
        <v>68</v>
      </c>
      <c r="D454">
        <v>32</v>
      </c>
      <c r="E454">
        <v>210</v>
      </c>
      <c r="F454">
        <v>39.9</v>
      </c>
      <c r="G454">
        <v>0.38100000000000001</v>
      </c>
      <c r="H454">
        <v>25</v>
      </c>
      <c r="I454">
        <v>0</v>
      </c>
    </row>
    <row r="455" spans="1:9" x14ac:dyDescent="0.2">
      <c r="A455">
        <v>2</v>
      </c>
      <c r="B455">
        <v>119</v>
      </c>
      <c r="F455">
        <v>19.600000000000001</v>
      </c>
      <c r="G455">
        <v>0.83199999999999996</v>
      </c>
      <c r="H455">
        <v>72</v>
      </c>
      <c r="I455">
        <v>0</v>
      </c>
    </row>
    <row r="456" spans="1:9" x14ac:dyDescent="0.2">
      <c r="A456">
        <v>2</v>
      </c>
      <c r="B456">
        <v>100</v>
      </c>
      <c r="C456">
        <v>54</v>
      </c>
      <c r="D456">
        <v>28</v>
      </c>
      <c r="E456">
        <v>105</v>
      </c>
      <c r="F456">
        <v>37.799999999999997</v>
      </c>
      <c r="G456">
        <v>0.498</v>
      </c>
      <c r="H456">
        <v>24</v>
      </c>
      <c r="I456">
        <v>0</v>
      </c>
    </row>
    <row r="457" spans="1:9" x14ac:dyDescent="0.2">
      <c r="A457">
        <v>14</v>
      </c>
      <c r="B457">
        <v>175</v>
      </c>
      <c r="C457">
        <v>62</v>
      </c>
      <c r="D457">
        <v>30</v>
      </c>
      <c r="F457">
        <v>33.6</v>
      </c>
      <c r="G457">
        <v>0.21199999999999999</v>
      </c>
      <c r="H457">
        <v>38</v>
      </c>
      <c r="I457">
        <v>1</v>
      </c>
    </row>
    <row r="458" spans="1:9" x14ac:dyDescent="0.2">
      <c r="A458">
        <v>1</v>
      </c>
      <c r="B458">
        <v>135</v>
      </c>
      <c r="C458">
        <v>54</v>
      </c>
      <c r="F458">
        <v>26.7</v>
      </c>
      <c r="G458">
        <v>0.68700000000000006</v>
      </c>
      <c r="H458">
        <v>62</v>
      </c>
      <c r="I458">
        <v>0</v>
      </c>
    </row>
    <row r="459" spans="1:9" x14ac:dyDescent="0.2">
      <c r="A459">
        <v>5</v>
      </c>
      <c r="B459">
        <v>86</v>
      </c>
      <c r="C459">
        <v>68</v>
      </c>
      <c r="D459">
        <v>28</v>
      </c>
      <c r="E459">
        <v>71</v>
      </c>
      <c r="F459">
        <v>30.2</v>
      </c>
      <c r="G459">
        <v>0.36399999999999999</v>
      </c>
      <c r="H459">
        <v>24</v>
      </c>
      <c r="I459">
        <v>0</v>
      </c>
    </row>
    <row r="460" spans="1:9" x14ac:dyDescent="0.2">
      <c r="A460">
        <v>10</v>
      </c>
      <c r="B460">
        <v>148</v>
      </c>
      <c r="C460">
        <v>84</v>
      </c>
      <c r="D460">
        <v>48</v>
      </c>
      <c r="E460">
        <v>237</v>
      </c>
      <c r="F460">
        <v>37.6</v>
      </c>
      <c r="G460">
        <v>1.0009999999999999</v>
      </c>
      <c r="H460">
        <v>51</v>
      </c>
      <c r="I460">
        <v>1</v>
      </c>
    </row>
    <row r="461" spans="1:9" x14ac:dyDescent="0.2">
      <c r="A461">
        <v>9</v>
      </c>
      <c r="B461">
        <v>134</v>
      </c>
      <c r="C461">
        <v>74</v>
      </c>
      <c r="D461">
        <v>33</v>
      </c>
      <c r="E461">
        <v>60</v>
      </c>
      <c r="F461">
        <v>25.9</v>
      </c>
      <c r="G461">
        <v>0.46</v>
      </c>
      <c r="H461">
        <v>81</v>
      </c>
      <c r="I461">
        <v>0</v>
      </c>
    </row>
    <row r="462" spans="1:9" x14ac:dyDescent="0.2">
      <c r="A462">
        <v>9</v>
      </c>
      <c r="B462">
        <v>120</v>
      </c>
      <c r="C462">
        <v>72</v>
      </c>
      <c r="D462">
        <v>22</v>
      </c>
      <c r="E462">
        <v>56</v>
      </c>
      <c r="F462">
        <v>20.8</v>
      </c>
      <c r="G462">
        <v>0.73299999999999998</v>
      </c>
      <c r="H462">
        <v>48</v>
      </c>
      <c r="I462">
        <v>0</v>
      </c>
    </row>
    <row r="463" spans="1:9" x14ac:dyDescent="0.2">
      <c r="A463">
        <v>1</v>
      </c>
      <c r="B463">
        <v>71</v>
      </c>
      <c r="C463">
        <v>62</v>
      </c>
      <c r="F463">
        <v>21.8</v>
      </c>
      <c r="G463">
        <v>0.41599999999999998</v>
      </c>
      <c r="H463">
        <v>26</v>
      </c>
      <c r="I463">
        <v>0</v>
      </c>
    </row>
    <row r="464" spans="1:9" x14ac:dyDescent="0.2">
      <c r="A464">
        <v>8</v>
      </c>
      <c r="B464">
        <v>74</v>
      </c>
      <c r="C464">
        <v>70</v>
      </c>
      <c r="D464">
        <v>40</v>
      </c>
      <c r="E464">
        <v>49</v>
      </c>
      <c r="F464">
        <v>35.299999999999997</v>
      </c>
      <c r="G464">
        <v>0.70499999999999996</v>
      </c>
      <c r="H464">
        <v>39</v>
      </c>
      <c r="I464">
        <v>0</v>
      </c>
    </row>
    <row r="465" spans="1:9" x14ac:dyDescent="0.2">
      <c r="A465">
        <v>5</v>
      </c>
      <c r="B465">
        <v>88</v>
      </c>
      <c r="C465">
        <v>78</v>
      </c>
      <c r="D465">
        <v>30</v>
      </c>
      <c r="F465">
        <v>27.6</v>
      </c>
      <c r="G465">
        <v>0.25800000000000001</v>
      </c>
      <c r="H465">
        <v>37</v>
      </c>
      <c r="I465">
        <v>0</v>
      </c>
    </row>
    <row r="466" spans="1:9" x14ac:dyDescent="0.2">
      <c r="A466">
        <v>10</v>
      </c>
      <c r="B466">
        <v>115</v>
      </c>
      <c r="C466">
        <v>98</v>
      </c>
      <c r="F466">
        <v>24</v>
      </c>
      <c r="G466">
        <v>1.022</v>
      </c>
      <c r="H466">
        <v>34</v>
      </c>
      <c r="I466">
        <v>0</v>
      </c>
    </row>
    <row r="467" spans="1:9" x14ac:dyDescent="0.2">
      <c r="A467">
        <v>0</v>
      </c>
      <c r="B467">
        <v>124</v>
      </c>
      <c r="C467">
        <v>56</v>
      </c>
      <c r="D467">
        <v>13</v>
      </c>
      <c r="E467">
        <v>105</v>
      </c>
      <c r="F467">
        <v>21.8</v>
      </c>
      <c r="G467">
        <v>0.45200000000000001</v>
      </c>
      <c r="H467">
        <v>21</v>
      </c>
      <c r="I467">
        <v>0</v>
      </c>
    </row>
    <row r="468" spans="1:9" x14ac:dyDescent="0.2">
      <c r="A468">
        <v>0</v>
      </c>
      <c r="B468">
        <v>74</v>
      </c>
      <c r="C468">
        <v>52</v>
      </c>
      <c r="D468">
        <v>10</v>
      </c>
      <c r="E468">
        <v>36</v>
      </c>
      <c r="F468">
        <v>27.8</v>
      </c>
      <c r="G468">
        <v>0.26900000000000002</v>
      </c>
      <c r="H468">
        <v>22</v>
      </c>
      <c r="I468">
        <v>0</v>
      </c>
    </row>
    <row r="469" spans="1:9" x14ac:dyDescent="0.2">
      <c r="A469">
        <v>0</v>
      </c>
      <c r="B469">
        <v>97</v>
      </c>
      <c r="C469">
        <v>64</v>
      </c>
      <c r="D469">
        <v>36</v>
      </c>
      <c r="E469">
        <v>100</v>
      </c>
      <c r="F469">
        <v>36.799999999999997</v>
      </c>
      <c r="G469">
        <v>0.6</v>
      </c>
      <c r="H469">
        <v>25</v>
      </c>
      <c r="I469">
        <v>0</v>
      </c>
    </row>
    <row r="470" spans="1:9" x14ac:dyDescent="0.2">
      <c r="A470">
        <v>8</v>
      </c>
      <c r="B470">
        <v>120</v>
      </c>
      <c r="F470">
        <v>30</v>
      </c>
      <c r="G470">
        <v>0.183</v>
      </c>
      <c r="H470">
        <v>38</v>
      </c>
      <c r="I470">
        <v>1</v>
      </c>
    </row>
    <row r="471" spans="1:9" x14ac:dyDescent="0.2">
      <c r="A471">
        <v>6</v>
      </c>
      <c r="B471">
        <v>154</v>
      </c>
      <c r="C471">
        <v>78</v>
      </c>
      <c r="D471">
        <v>41</v>
      </c>
      <c r="E471">
        <v>140</v>
      </c>
      <c r="F471">
        <v>46.1</v>
      </c>
      <c r="G471">
        <v>0.57099999999999995</v>
      </c>
      <c r="H471">
        <v>27</v>
      </c>
      <c r="I471">
        <v>0</v>
      </c>
    </row>
    <row r="472" spans="1:9" x14ac:dyDescent="0.2">
      <c r="A472">
        <v>1</v>
      </c>
      <c r="B472">
        <v>144</v>
      </c>
      <c r="C472">
        <v>82</v>
      </c>
      <c r="D472">
        <v>40</v>
      </c>
      <c r="F472">
        <v>41.3</v>
      </c>
      <c r="G472">
        <v>0.60699999999999998</v>
      </c>
      <c r="H472">
        <v>28</v>
      </c>
      <c r="I472">
        <v>0</v>
      </c>
    </row>
    <row r="473" spans="1:9" x14ac:dyDescent="0.2">
      <c r="A473">
        <v>0</v>
      </c>
      <c r="B473">
        <v>137</v>
      </c>
      <c r="C473">
        <v>70</v>
      </c>
      <c r="D473">
        <v>38</v>
      </c>
      <c r="F473">
        <v>33.200000000000003</v>
      </c>
      <c r="G473">
        <v>0.17</v>
      </c>
      <c r="H473">
        <v>22</v>
      </c>
      <c r="I473">
        <v>0</v>
      </c>
    </row>
    <row r="474" spans="1:9" x14ac:dyDescent="0.2">
      <c r="A474">
        <v>0</v>
      </c>
      <c r="B474">
        <v>119</v>
      </c>
      <c r="C474">
        <v>66</v>
      </c>
      <c r="D474">
        <v>27</v>
      </c>
      <c r="F474">
        <v>38.799999999999997</v>
      </c>
      <c r="G474">
        <v>0.25900000000000001</v>
      </c>
      <c r="H474">
        <v>22</v>
      </c>
      <c r="I474">
        <v>0</v>
      </c>
    </row>
    <row r="475" spans="1:9" x14ac:dyDescent="0.2">
      <c r="A475">
        <v>7</v>
      </c>
      <c r="B475">
        <v>136</v>
      </c>
      <c r="C475">
        <v>90</v>
      </c>
      <c r="F475">
        <v>29.9</v>
      </c>
      <c r="G475">
        <v>0.21</v>
      </c>
      <c r="H475">
        <v>50</v>
      </c>
      <c r="I475">
        <v>0</v>
      </c>
    </row>
    <row r="476" spans="1:9" x14ac:dyDescent="0.2">
      <c r="A476">
        <v>4</v>
      </c>
      <c r="B476">
        <v>114</v>
      </c>
      <c r="C476">
        <v>64</v>
      </c>
      <c r="F476">
        <v>28.9</v>
      </c>
      <c r="G476">
        <v>0.126</v>
      </c>
      <c r="H476">
        <v>24</v>
      </c>
      <c r="I476">
        <v>0</v>
      </c>
    </row>
    <row r="477" spans="1:9" x14ac:dyDescent="0.2">
      <c r="A477">
        <v>0</v>
      </c>
      <c r="B477">
        <v>137</v>
      </c>
      <c r="C477">
        <v>84</v>
      </c>
      <c r="D477">
        <v>27</v>
      </c>
      <c r="F477">
        <v>27.3</v>
      </c>
      <c r="G477">
        <v>0.23100000000000001</v>
      </c>
      <c r="H477">
        <v>59</v>
      </c>
      <c r="I477">
        <v>0</v>
      </c>
    </row>
    <row r="478" spans="1:9" x14ac:dyDescent="0.2">
      <c r="A478">
        <v>2</v>
      </c>
      <c r="B478">
        <v>105</v>
      </c>
      <c r="C478">
        <v>80</v>
      </c>
      <c r="D478">
        <v>45</v>
      </c>
      <c r="E478">
        <v>191</v>
      </c>
      <c r="F478">
        <v>33.700000000000003</v>
      </c>
      <c r="G478">
        <v>0.71099999999999997</v>
      </c>
      <c r="H478">
        <v>29</v>
      </c>
      <c r="I478">
        <v>1</v>
      </c>
    </row>
    <row r="479" spans="1:9" x14ac:dyDescent="0.2">
      <c r="A479">
        <v>7</v>
      </c>
      <c r="B479">
        <v>114</v>
      </c>
      <c r="C479">
        <v>76</v>
      </c>
      <c r="D479">
        <v>17</v>
      </c>
      <c r="E479">
        <v>110</v>
      </c>
      <c r="F479">
        <v>23.8</v>
      </c>
      <c r="G479">
        <v>0.46600000000000003</v>
      </c>
      <c r="H479">
        <v>31</v>
      </c>
      <c r="I479">
        <v>0</v>
      </c>
    </row>
    <row r="480" spans="1:9" x14ac:dyDescent="0.2">
      <c r="A480">
        <v>8</v>
      </c>
      <c r="B480">
        <v>126</v>
      </c>
      <c r="C480">
        <v>74</v>
      </c>
      <c r="D480">
        <v>38</v>
      </c>
      <c r="E480">
        <v>75</v>
      </c>
      <c r="F480">
        <v>25.9</v>
      </c>
      <c r="G480">
        <v>0.16200000000000001</v>
      </c>
      <c r="H480">
        <v>39</v>
      </c>
      <c r="I480">
        <v>0</v>
      </c>
    </row>
    <row r="481" spans="1:9" x14ac:dyDescent="0.2">
      <c r="A481">
        <v>4</v>
      </c>
      <c r="B481">
        <v>132</v>
      </c>
      <c r="C481">
        <v>86</v>
      </c>
      <c r="D481">
        <v>31</v>
      </c>
      <c r="F481">
        <v>28</v>
      </c>
      <c r="G481">
        <v>0.41899999999999998</v>
      </c>
      <c r="H481">
        <v>63</v>
      </c>
      <c r="I481">
        <v>0</v>
      </c>
    </row>
    <row r="482" spans="1:9" x14ac:dyDescent="0.2">
      <c r="A482">
        <v>3</v>
      </c>
      <c r="B482">
        <v>158</v>
      </c>
      <c r="C482">
        <v>70</v>
      </c>
      <c r="D482">
        <v>30</v>
      </c>
      <c r="E482">
        <v>328</v>
      </c>
      <c r="F482">
        <v>35.5</v>
      </c>
      <c r="G482">
        <v>0.34399999999999997</v>
      </c>
      <c r="H482">
        <v>35</v>
      </c>
      <c r="I482">
        <v>1</v>
      </c>
    </row>
    <row r="483" spans="1:9" x14ac:dyDescent="0.2">
      <c r="A483">
        <v>0</v>
      </c>
      <c r="B483">
        <v>123</v>
      </c>
      <c r="C483">
        <v>88</v>
      </c>
      <c r="D483">
        <v>37</v>
      </c>
      <c r="F483">
        <v>35.200000000000003</v>
      </c>
      <c r="G483">
        <v>0.19700000000000001</v>
      </c>
      <c r="H483">
        <v>29</v>
      </c>
      <c r="I483">
        <v>0</v>
      </c>
    </row>
    <row r="484" spans="1:9" x14ac:dyDescent="0.2">
      <c r="A484">
        <v>4</v>
      </c>
      <c r="B484">
        <v>85</v>
      </c>
      <c r="C484">
        <v>58</v>
      </c>
      <c r="D484">
        <v>22</v>
      </c>
      <c r="E484">
        <v>49</v>
      </c>
      <c r="F484">
        <v>27.8</v>
      </c>
      <c r="G484">
        <v>0.30599999999999999</v>
      </c>
      <c r="H484">
        <v>28</v>
      </c>
      <c r="I484">
        <v>0</v>
      </c>
    </row>
    <row r="485" spans="1:9" x14ac:dyDescent="0.2">
      <c r="A485">
        <v>0</v>
      </c>
      <c r="B485">
        <v>84</v>
      </c>
      <c r="C485">
        <v>82</v>
      </c>
      <c r="D485">
        <v>31</v>
      </c>
      <c r="E485">
        <v>125</v>
      </c>
      <c r="F485">
        <v>38.200000000000003</v>
      </c>
      <c r="G485">
        <v>0.23300000000000001</v>
      </c>
      <c r="H485">
        <v>23</v>
      </c>
      <c r="I485">
        <v>0</v>
      </c>
    </row>
    <row r="486" spans="1:9" x14ac:dyDescent="0.2">
      <c r="A486">
        <v>0</v>
      </c>
      <c r="B486">
        <v>145</v>
      </c>
      <c r="F486">
        <v>44.2</v>
      </c>
      <c r="G486">
        <v>0.63</v>
      </c>
      <c r="H486">
        <v>31</v>
      </c>
      <c r="I486">
        <v>1</v>
      </c>
    </row>
    <row r="487" spans="1:9" x14ac:dyDescent="0.2">
      <c r="A487">
        <v>0</v>
      </c>
      <c r="B487">
        <v>135</v>
      </c>
      <c r="C487">
        <v>68</v>
      </c>
      <c r="D487">
        <v>42</v>
      </c>
      <c r="E487">
        <v>250</v>
      </c>
      <c r="F487">
        <v>42.3</v>
      </c>
      <c r="G487">
        <v>0.36499999999999999</v>
      </c>
      <c r="H487">
        <v>24</v>
      </c>
      <c r="I487">
        <v>1</v>
      </c>
    </row>
    <row r="488" spans="1:9" x14ac:dyDescent="0.2">
      <c r="A488">
        <v>1</v>
      </c>
      <c r="B488">
        <v>139</v>
      </c>
      <c r="C488">
        <v>62</v>
      </c>
      <c r="D488">
        <v>41</v>
      </c>
      <c r="E488">
        <v>480</v>
      </c>
      <c r="F488">
        <v>40.700000000000003</v>
      </c>
      <c r="G488">
        <v>0.53600000000000003</v>
      </c>
      <c r="H488">
        <v>21</v>
      </c>
      <c r="I488">
        <v>0</v>
      </c>
    </row>
    <row r="489" spans="1:9" x14ac:dyDescent="0.2">
      <c r="A489">
        <v>0</v>
      </c>
      <c r="B489">
        <v>173</v>
      </c>
      <c r="C489">
        <v>78</v>
      </c>
      <c r="D489">
        <v>32</v>
      </c>
      <c r="E489">
        <v>265</v>
      </c>
      <c r="F489">
        <v>46.5</v>
      </c>
      <c r="G489">
        <v>1.159</v>
      </c>
      <c r="H489">
        <v>58</v>
      </c>
      <c r="I489">
        <v>0</v>
      </c>
    </row>
    <row r="490" spans="1:9" x14ac:dyDescent="0.2">
      <c r="A490">
        <v>4</v>
      </c>
      <c r="B490">
        <v>99</v>
      </c>
      <c r="C490">
        <v>72</v>
      </c>
      <c r="D490">
        <v>17</v>
      </c>
      <c r="F490">
        <v>25.6</v>
      </c>
      <c r="G490">
        <v>0.29399999999999998</v>
      </c>
      <c r="H490">
        <v>28</v>
      </c>
      <c r="I490">
        <v>0</v>
      </c>
    </row>
    <row r="491" spans="1:9" x14ac:dyDescent="0.2">
      <c r="A491">
        <v>8</v>
      </c>
      <c r="B491">
        <v>194</v>
      </c>
      <c r="C491">
        <v>80</v>
      </c>
      <c r="F491">
        <v>26.1</v>
      </c>
      <c r="G491">
        <v>0.55100000000000005</v>
      </c>
      <c r="H491">
        <v>67</v>
      </c>
      <c r="I491">
        <v>0</v>
      </c>
    </row>
    <row r="492" spans="1:9" x14ac:dyDescent="0.2">
      <c r="A492">
        <v>2</v>
      </c>
      <c r="B492">
        <v>83</v>
      </c>
      <c r="C492">
        <v>65</v>
      </c>
      <c r="D492">
        <v>28</v>
      </c>
      <c r="E492">
        <v>66</v>
      </c>
      <c r="F492">
        <v>36.799999999999997</v>
      </c>
      <c r="G492">
        <v>0.629</v>
      </c>
      <c r="H492">
        <v>24</v>
      </c>
      <c r="I492">
        <v>0</v>
      </c>
    </row>
    <row r="493" spans="1:9" x14ac:dyDescent="0.2">
      <c r="A493">
        <v>2</v>
      </c>
      <c r="B493">
        <v>89</v>
      </c>
      <c r="C493">
        <v>90</v>
      </c>
      <c r="D493">
        <v>30</v>
      </c>
      <c r="F493">
        <v>33.5</v>
      </c>
      <c r="G493">
        <v>0.29199999999999998</v>
      </c>
      <c r="H493">
        <v>42</v>
      </c>
      <c r="I493">
        <v>0</v>
      </c>
    </row>
    <row r="494" spans="1:9" x14ac:dyDescent="0.2">
      <c r="A494">
        <v>4</v>
      </c>
      <c r="B494">
        <v>99</v>
      </c>
      <c r="C494">
        <v>68</v>
      </c>
      <c r="D494">
        <v>38</v>
      </c>
      <c r="F494">
        <v>32.799999999999997</v>
      </c>
      <c r="G494">
        <v>0.14499999999999999</v>
      </c>
      <c r="H494">
        <v>33</v>
      </c>
      <c r="I494">
        <v>0</v>
      </c>
    </row>
    <row r="495" spans="1:9" x14ac:dyDescent="0.2">
      <c r="A495">
        <v>4</v>
      </c>
      <c r="B495">
        <v>125</v>
      </c>
      <c r="C495">
        <v>70</v>
      </c>
      <c r="D495">
        <v>18</v>
      </c>
      <c r="E495">
        <v>122</v>
      </c>
      <c r="F495">
        <v>28.9</v>
      </c>
      <c r="G495">
        <v>1.1439999999999999</v>
      </c>
      <c r="H495">
        <v>45</v>
      </c>
      <c r="I495">
        <v>1</v>
      </c>
    </row>
    <row r="496" spans="1:9" hidden="1" x14ac:dyDescent="0.2">
      <c r="A496">
        <v>3</v>
      </c>
      <c r="B496">
        <v>80</v>
      </c>
      <c r="G496">
        <v>0.17399999999999999</v>
      </c>
      <c r="H496">
        <v>22</v>
      </c>
      <c r="I496">
        <v>0</v>
      </c>
    </row>
    <row r="497" spans="1:9" x14ac:dyDescent="0.2">
      <c r="A497">
        <v>6</v>
      </c>
      <c r="B497">
        <v>166</v>
      </c>
      <c r="C497">
        <v>74</v>
      </c>
      <c r="F497">
        <v>26.6</v>
      </c>
      <c r="G497">
        <v>0.30399999999999999</v>
      </c>
      <c r="H497">
        <v>66</v>
      </c>
      <c r="I497">
        <v>0</v>
      </c>
    </row>
    <row r="498" spans="1:9" x14ac:dyDescent="0.2">
      <c r="A498">
        <v>5</v>
      </c>
      <c r="B498">
        <v>110</v>
      </c>
      <c r="C498">
        <v>68</v>
      </c>
      <c r="F498">
        <v>26</v>
      </c>
      <c r="G498">
        <v>0.29199999999999998</v>
      </c>
      <c r="H498">
        <v>30</v>
      </c>
      <c r="I498">
        <v>0</v>
      </c>
    </row>
    <row r="499" spans="1:9" x14ac:dyDescent="0.2">
      <c r="A499">
        <v>2</v>
      </c>
      <c r="B499">
        <v>81</v>
      </c>
      <c r="C499">
        <v>72</v>
      </c>
      <c r="D499">
        <v>15</v>
      </c>
      <c r="E499">
        <v>76</v>
      </c>
      <c r="F499">
        <v>30.1</v>
      </c>
      <c r="G499">
        <v>0.54700000000000004</v>
      </c>
      <c r="H499">
        <v>25</v>
      </c>
      <c r="I499">
        <v>0</v>
      </c>
    </row>
    <row r="500" spans="1:9" x14ac:dyDescent="0.2">
      <c r="A500">
        <v>7</v>
      </c>
      <c r="B500">
        <v>195</v>
      </c>
      <c r="C500">
        <v>70</v>
      </c>
      <c r="D500">
        <v>33</v>
      </c>
      <c r="E500">
        <v>145</v>
      </c>
      <c r="F500">
        <v>25.1</v>
      </c>
      <c r="G500">
        <v>0.16300000000000001</v>
      </c>
      <c r="H500">
        <v>55</v>
      </c>
      <c r="I500">
        <v>1</v>
      </c>
    </row>
    <row r="501" spans="1:9" x14ac:dyDescent="0.2">
      <c r="A501">
        <v>6</v>
      </c>
      <c r="B501">
        <v>154</v>
      </c>
      <c r="C501">
        <v>74</v>
      </c>
      <c r="D501">
        <v>32</v>
      </c>
      <c r="E501">
        <v>193</v>
      </c>
      <c r="F501">
        <v>29.3</v>
      </c>
      <c r="G501">
        <v>0.83899999999999997</v>
      </c>
      <c r="H501">
        <v>39</v>
      </c>
      <c r="I501">
        <v>0</v>
      </c>
    </row>
    <row r="502" spans="1:9" x14ac:dyDescent="0.2">
      <c r="A502">
        <v>2</v>
      </c>
      <c r="B502">
        <v>117</v>
      </c>
      <c r="C502">
        <v>90</v>
      </c>
      <c r="D502">
        <v>19</v>
      </c>
      <c r="E502">
        <v>71</v>
      </c>
      <c r="F502">
        <v>25.2</v>
      </c>
      <c r="G502">
        <v>0.313</v>
      </c>
      <c r="H502">
        <v>21</v>
      </c>
      <c r="I502">
        <v>0</v>
      </c>
    </row>
    <row r="503" spans="1:9" x14ac:dyDescent="0.2">
      <c r="A503">
        <v>3</v>
      </c>
      <c r="B503">
        <v>84</v>
      </c>
      <c r="C503">
        <v>72</v>
      </c>
      <c r="D503">
        <v>32</v>
      </c>
      <c r="F503">
        <v>37.200000000000003</v>
      </c>
      <c r="G503">
        <v>0.26700000000000002</v>
      </c>
      <c r="H503">
        <v>28</v>
      </c>
      <c r="I503">
        <v>0</v>
      </c>
    </row>
    <row r="504" spans="1:9" x14ac:dyDescent="0.2">
      <c r="A504">
        <v>6</v>
      </c>
      <c r="C504">
        <v>68</v>
      </c>
      <c r="D504">
        <v>41</v>
      </c>
      <c r="F504">
        <v>39</v>
      </c>
      <c r="G504">
        <v>0.72699999999999998</v>
      </c>
      <c r="H504">
        <v>41</v>
      </c>
      <c r="I504">
        <v>1</v>
      </c>
    </row>
    <row r="505" spans="1:9" x14ac:dyDescent="0.2">
      <c r="A505">
        <v>7</v>
      </c>
      <c r="B505">
        <v>94</v>
      </c>
      <c r="C505">
        <v>64</v>
      </c>
      <c r="D505">
        <v>25</v>
      </c>
      <c r="E505">
        <v>79</v>
      </c>
      <c r="F505">
        <v>33.299999999999997</v>
      </c>
      <c r="G505">
        <v>0.73799999999999999</v>
      </c>
      <c r="H505">
        <v>41</v>
      </c>
      <c r="I505">
        <v>0</v>
      </c>
    </row>
    <row r="506" spans="1:9" x14ac:dyDescent="0.2">
      <c r="A506">
        <v>3</v>
      </c>
      <c r="B506">
        <v>96</v>
      </c>
      <c r="C506">
        <v>78</v>
      </c>
      <c r="D506">
        <v>39</v>
      </c>
      <c r="F506">
        <v>37.299999999999997</v>
      </c>
      <c r="G506">
        <v>0.23799999999999999</v>
      </c>
      <c r="H506">
        <v>40</v>
      </c>
      <c r="I506">
        <v>0</v>
      </c>
    </row>
    <row r="507" spans="1:9" x14ac:dyDescent="0.2">
      <c r="A507">
        <v>10</v>
      </c>
      <c r="B507">
        <v>75</v>
      </c>
      <c r="C507">
        <v>82</v>
      </c>
      <c r="F507">
        <v>33.299999999999997</v>
      </c>
      <c r="G507">
        <v>0.26300000000000001</v>
      </c>
      <c r="H507">
        <v>38</v>
      </c>
      <c r="I507">
        <v>0</v>
      </c>
    </row>
    <row r="508" spans="1:9" x14ac:dyDescent="0.2">
      <c r="A508">
        <v>0</v>
      </c>
      <c r="B508">
        <v>180</v>
      </c>
      <c r="C508">
        <v>90</v>
      </c>
      <c r="D508">
        <v>26</v>
      </c>
      <c r="E508">
        <v>90</v>
      </c>
      <c r="F508">
        <v>36.5</v>
      </c>
      <c r="G508">
        <v>0.314</v>
      </c>
      <c r="H508">
        <v>35</v>
      </c>
      <c r="I508">
        <v>1</v>
      </c>
    </row>
    <row r="509" spans="1:9" x14ac:dyDescent="0.2">
      <c r="A509">
        <v>1</v>
      </c>
      <c r="B509">
        <v>130</v>
      </c>
      <c r="C509">
        <v>60</v>
      </c>
      <c r="D509">
        <v>23</v>
      </c>
      <c r="E509">
        <v>170</v>
      </c>
      <c r="F509">
        <v>28.6</v>
      </c>
      <c r="G509">
        <v>0.69199999999999995</v>
      </c>
      <c r="H509">
        <v>21</v>
      </c>
      <c r="I509">
        <v>0</v>
      </c>
    </row>
    <row r="510" spans="1:9" x14ac:dyDescent="0.2">
      <c r="A510">
        <v>2</v>
      </c>
      <c r="B510">
        <v>84</v>
      </c>
      <c r="C510">
        <v>50</v>
      </c>
      <c r="D510">
        <v>23</v>
      </c>
      <c r="E510">
        <v>76</v>
      </c>
      <c r="F510">
        <v>30.4</v>
      </c>
      <c r="G510">
        <v>0.96799999999999997</v>
      </c>
      <c r="H510">
        <v>21</v>
      </c>
      <c r="I510">
        <v>0</v>
      </c>
    </row>
    <row r="511" spans="1:9" x14ac:dyDescent="0.2">
      <c r="A511">
        <v>8</v>
      </c>
      <c r="B511">
        <v>120</v>
      </c>
      <c r="C511">
        <v>78</v>
      </c>
      <c r="F511">
        <v>25</v>
      </c>
      <c r="G511">
        <v>0.40899999999999997</v>
      </c>
      <c r="H511">
        <v>64</v>
      </c>
      <c r="I511">
        <v>0</v>
      </c>
    </row>
    <row r="512" spans="1:9" x14ac:dyDescent="0.2">
      <c r="A512">
        <v>12</v>
      </c>
      <c r="B512">
        <v>84</v>
      </c>
      <c r="C512">
        <v>72</v>
      </c>
      <c r="D512">
        <v>31</v>
      </c>
      <c r="F512">
        <v>29.7</v>
      </c>
      <c r="G512">
        <v>0.29699999999999999</v>
      </c>
      <c r="H512">
        <v>46</v>
      </c>
      <c r="I512">
        <v>1</v>
      </c>
    </row>
    <row r="513" spans="1:9" x14ac:dyDescent="0.2">
      <c r="A513">
        <v>0</v>
      </c>
      <c r="B513">
        <v>139</v>
      </c>
      <c r="C513">
        <v>62</v>
      </c>
      <c r="D513">
        <v>17</v>
      </c>
      <c r="E513">
        <v>210</v>
      </c>
      <c r="F513">
        <v>22.1</v>
      </c>
      <c r="G513">
        <v>0.20699999999999999</v>
      </c>
      <c r="H513">
        <v>21</v>
      </c>
      <c r="I513">
        <v>0</v>
      </c>
    </row>
    <row r="514" spans="1:9" x14ac:dyDescent="0.2">
      <c r="A514">
        <v>9</v>
      </c>
      <c r="B514">
        <v>91</v>
      </c>
      <c r="C514">
        <v>68</v>
      </c>
      <c r="F514">
        <v>24.2</v>
      </c>
      <c r="G514">
        <v>0.2</v>
      </c>
      <c r="H514">
        <v>58</v>
      </c>
      <c r="I514">
        <v>0</v>
      </c>
    </row>
    <row r="515" spans="1:9" x14ac:dyDescent="0.2">
      <c r="A515">
        <v>2</v>
      </c>
      <c r="B515">
        <v>91</v>
      </c>
      <c r="C515">
        <v>62</v>
      </c>
      <c r="F515">
        <v>27.3</v>
      </c>
      <c r="G515">
        <v>0.52500000000000002</v>
      </c>
      <c r="H515">
        <v>22</v>
      </c>
      <c r="I515">
        <v>0</v>
      </c>
    </row>
    <row r="516" spans="1:9" x14ac:dyDescent="0.2">
      <c r="A516">
        <v>3</v>
      </c>
      <c r="B516">
        <v>99</v>
      </c>
      <c r="C516">
        <v>54</v>
      </c>
      <c r="D516">
        <v>19</v>
      </c>
      <c r="E516">
        <v>86</v>
      </c>
      <c r="F516">
        <v>25.6</v>
      </c>
      <c r="G516">
        <v>0.154</v>
      </c>
      <c r="H516">
        <v>24</v>
      </c>
      <c r="I516">
        <v>0</v>
      </c>
    </row>
    <row r="517" spans="1:9" x14ac:dyDescent="0.2">
      <c r="A517">
        <v>3</v>
      </c>
      <c r="B517">
        <v>163</v>
      </c>
      <c r="C517">
        <v>70</v>
      </c>
      <c r="D517">
        <v>18</v>
      </c>
      <c r="E517">
        <v>105</v>
      </c>
      <c r="F517">
        <v>31.6</v>
      </c>
      <c r="G517">
        <v>0.26800000000000002</v>
      </c>
      <c r="H517">
        <v>28</v>
      </c>
      <c r="I517">
        <v>1</v>
      </c>
    </row>
    <row r="518" spans="1:9" x14ac:dyDescent="0.2">
      <c r="A518">
        <v>9</v>
      </c>
      <c r="B518">
        <v>145</v>
      </c>
      <c r="C518">
        <v>88</v>
      </c>
      <c r="D518">
        <v>34</v>
      </c>
      <c r="E518">
        <v>165</v>
      </c>
      <c r="F518">
        <v>30.3</v>
      </c>
      <c r="G518">
        <v>0.77100000000000002</v>
      </c>
      <c r="H518">
        <v>53</v>
      </c>
      <c r="I518">
        <v>1</v>
      </c>
    </row>
    <row r="519" spans="1:9" x14ac:dyDescent="0.2">
      <c r="A519">
        <v>7</v>
      </c>
      <c r="B519">
        <v>125</v>
      </c>
      <c r="C519">
        <v>86</v>
      </c>
      <c r="F519">
        <v>37.6</v>
      </c>
      <c r="G519">
        <v>0.30399999999999999</v>
      </c>
      <c r="H519">
        <v>51</v>
      </c>
      <c r="I519">
        <v>0</v>
      </c>
    </row>
    <row r="520" spans="1:9" x14ac:dyDescent="0.2">
      <c r="A520">
        <v>13</v>
      </c>
      <c r="B520">
        <v>76</v>
      </c>
      <c r="C520">
        <v>60</v>
      </c>
      <c r="F520">
        <v>32.799999999999997</v>
      </c>
      <c r="G520">
        <v>0.18</v>
      </c>
      <c r="H520">
        <v>41</v>
      </c>
      <c r="I520">
        <v>0</v>
      </c>
    </row>
    <row r="521" spans="1:9" x14ac:dyDescent="0.2">
      <c r="A521">
        <v>6</v>
      </c>
      <c r="B521">
        <v>129</v>
      </c>
      <c r="C521">
        <v>90</v>
      </c>
      <c r="D521">
        <v>7</v>
      </c>
      <c r="E521">
        <v>326</v>
      </c>
      <c r="F521">
        <v>19.600000000000001</v>
      </c>
      <c r="G521">
        <v>0.58199999999999996</v>
      </c>
      <c r="H521">
        <v>60</v>
      </c>
      <c r="I521">
        <v>0</v>
      </c>
    </row>
    <row r="522" spans="1:9" x14ac:dyDescent="0.2">
      <c r="A522">
        <v>2</v>
      </c>
      <c r="B522">
        <v>68</v>
      </c>
      <c r="C522">
        <v>70</v>
      </c>
      <c r="D522">
        <v>32</v>
      </c>
      <c r="E522">
        <v>66</v>
      </c>
      <c r="F522">
        <v>25</v>
      </c>
      <c r="G522">
        <v>0.187</v>
      </c>
      <c r="H522">
        <v>25</v>
      </c>
      <c r="I522">
        <v>0</v>
      </c>
    </row>
    <row r="523" spans="1:9" x14ac:dyDescent="0.2">
      <c r="A523">
        <v>3</v>
      </c>
      <c r="B523">
        <v>124</v>
      </c>
      <c r="C523">
        <v>80</v>
      </c>
      <c r="D523">
        <v>33</v>
      </c>
      <c r="E523">
        <v>130</v>
      </c>
      <c r="F523">
        <v>33.200000000000003</v>
      </c>
      <c r="G523">
        <v>0.30499999999999999</v>
      </c>
      <c r="H523">
        <v>26</v>
      </c>
      <c r="I523">
        <v>0</v>
      </c>
    </row>
    <row r="524" spans="1:9" hidden="1" x14ac:dyDescent="0.2">
      <c r="A524">
        <v>6</v>
      </c>
      <c r="B524">
        <v>114</v>
      </c>
      <c r="G524">
        <v>0.189</v>
      </c>
      <c r="H524">
        <v>26</v>
      </c>
      <c r="I524">
        <v>0</v>
      </c>
    </row>
    <row r="525" spans="1:9" x14ac:dyDescent="0.2">
      <c r="A525">
        <v>9</v>
      </c>
      <c r="B525">
        <v>130</v>
      </c>
      <c r="C525">
        <v>70</v>
      </c>
      <c r="F525">
        <v>34.200000000000003</v>
      </c>
      <c r="G525">
        <v>0.65200000000000002</v>
      </c>
      <c r="H525">
        <v>45</v>
      </c>
      <c r="I525">
        <v>1</v>
      </c>
    </row>
    <row r="526" spans="1:9" x14ac:dyDescent="0.2">
      <c r="A526">
        <v>3</v>
      </c>
      <c r="B526">
        <v>125</v>
      </c>
      <c r="C526">
        <v>58</v>
      </c>
      <c r="F526">
        <v>31.6</v>
      </c>
      <c r="G526">
        <v>0.151</v>
      </c>
      <c r="H526">
        <v>24</v>
      </c>
      <c r="I526">
        <v>0</v>
      </c>
    </row>
    <row r="527" spans="1:9" x14ac:dyDescent="0.2">
      <c r="A527">
        <v>3</v>
      </c>
      <c r="B527">
        <v>87</v>
      </c>
      <c r="C527">
        <v>60</v>
      </c>
      <c r="D527">
        <v>18</v>
      </c>
      <c r="F527">
        <v>21.8</v>
      </c>
      <c r="G527">
        <v>0.44400000000000001</v>
      </c>
      <c r="H527">
        <v>21</v>
      </c>
      <c r="I527">
        <v>0</v>
      </c>
    </row>
    <row r="528" spans="1:9" x14ac:dyDescent="0.2">
      <c r="A528">
        <v>1</v>
      </c>
      <c r="B528">
        <v>97</v>
      </c>
      <c r="C528">
        <v>64</v>
      </c>
      <c r="D528">
        <v>19</v>
      </c>
      <c r="E528">
        <v>82</v>
      </c>
      <c r="F528">
        <v>18.2</v>
      </c>
      <c r="G528">
        <v>0.29899999999999999</v>
      </c>
      <c r="H528">
        <v>21</v>
      </c>
      <c r="I528">
        <v>0</v>
      </c>
    </row>
    <row r="529" spans="1:9" x14ac:dyDescent="0.2">
      <c r="A529">
        <v>3</v>
      </c>
      <c r="B529">
        <v>116</v>
      </c>
      <c r="C529">
        <v>74</v>
      </c>
      <c r="D529">
        <v>15</v>
      </c>
      <c r="E529">
        <v>105</v>
      </c>
      <c r="F529">
        <v>26.3</v>
      </c>
      <c r="G529">
        <v>0.107</v>
      </c>
      <c r="H529">
        <v>24</v>
      </c>
      <c r="I529">
        <v>0</v>
      </c>
    </row>
    <row r="530" spans="1:9" x14ac:dyDescent="0.2">
      <c r="A530">
        <v>0</v>
      </c>
      <c r="B530">
        <v>117</v>
      </c>
      <c r="C530">
        <v>66</v>
      </c>
      <c r="D530">
        <v>31</v>
      </c>
      <c r="E530">
        <v>188</v>
      </c>
      <c r="F530">
        <v>30.8</v>
      </c>
      <c r="G530">
        <v>0.49299999999999999</v>
      </c>
      <c r="H530">
        <v>22</v>
      </c>
      <c r="I530">
        <v>0</v>
      </c>
    </row>
    <row r="531" spans="1:9" x14ac:dyDescent="0.2">
      <c r="A531">
        <v>0</v>
      </c>
      <c r="B531">
        <v>111</v>
      </c>
      <c r="C531">
        <v>65</v>
      </c>
      <c r="F531">
        <v>24.6</v>
      </c>
      <c r="G531">
        <v>0.66</v>
      </c>
      <c r="H531">
        <v>31</v>
      </c>
      <c r="I531">
        <v>0</v>
      </c>
    </row>
    <row r="532" spans="1:9" x14ac:dyDescent="0.2">
      <c r="A532">
        <v>2</v>
      </c>
      <c r="B532">
        <v>122</v>
      </c>
      <c r="C532">
        <v>60</v>
      </c>
      <c r="D532">
        <v>18</v>
      </c>
      <c r="E532">
        <v>106</v>
      </c>
      <c r="F532">
        <v>29.8</v>
      </c>
      <c r="G532">
        <v>0.71699999999999997</v>
      </c>
      <c r="H532">
        <v>22</v>
      </c>
      <c r="I532">
        <v>0</v>
      </c>
    </row>
    <row r="533" spans="1:9" x14ac:dyDescent="0.2">
      <c r="A533">
        <v>0</v>
      </c>
      <c r="B533">
        <v>107</v>
      </c>
      <c r="C533">
        <v>76</v>
      </c>
      <c r="F533">
        <v>45.3</v>
      </c>
      <c r="G533">
        <v>0.68600000000000005</v>
      </c>
      <c r="H533">
        <v>24</v>
      </c>
      <c r="I533">
        <v>0</v>
      </c>
    </row>
    <row r="534" spans="1:9" x14ac:dyDescent="0.2">
      <c r="A534">
        <v>1</v>
      </c>
      <c r="B534">
        <v>86</v>
      </c>
      <c r="C534">
        <v>66</v>
      </c>
      <c r="D534">
        <v>52</v>
      </c>
      <c r="E534">
        <v>65</v>
      </c>
      <c r="F534">
        <v>41.3</v>
      </c>
      <c r="G534">
        <v>0.91700000000000004</v>
      </c>
      <c r="H534">
        <v>29</v>
      </c>
      <c r="I534">
        <v>0</v>
      </c>
    </row>
    <row r="535" spans="1:9" x14ac:dyDescent="0.2">
      <c r="A535">
        <v>6</v>
      </c>
      <c r="B535">
        <v>91</v>
      </c>
      <c r="F535">
        <v>29.8</v>
      </c>
      <c r="G535">
        <v>0.501</v>
      </c>
      <c r="H535">
        <v>31</v>
      </c>
      <c r="I535">
        <v>0</v>
      </c>
    </row>
    <row r="536" spans="1:9" x14ac:dyDescent="0.2">
      <c r="A536">
        <v>1</v>
      </c>
      <c r="B536">
        <v>77</v>
      </c>
      <c r="C536">
        <v>56</v>
      </c>
      <c r="D536">
        <v>30</v>
      </c>
      <c r="E536">
        <v>56</v>
      </c>
      <c r="F536">
        <v>33.299999999999997</v>
      </c>
      <c r="G536">
        <v>1.2509999999999999</v>
      </c>
      <c r="H536">
        <v>24</v>
      </c>
      <c r="I536">
        <v>0</v>
      </c>
    </row>
    <row r="537" spans="1:9" x14ac:dyDescent="0.2">
      <c r="A537">
        <v>4</v>
      </c>
      <c r="B537">
        <v>132</v>
      </c>
      <c r="F537">
        <v>32.9</v>
      </c>
      <c r="G537">
        <v>0.30199999999999999</v>
      </c>
      <c r="H537">
        <v>23</v>
      </c>
      <c r="I537">
        <v>1</v>
      </c>
    </row>
    <row r="538" spans="1:9" x14ac:dyDescent="0.2">
      <c r="A538">
        <v>0</v>
      </c>
      <c r="B538">
        <v>105</v>
      </c>
      <c r="C538">
        <v>90</v>
      </c>
      <c r="F538">
        <v>29.6</v>
      </c>
      <c r="G538">
        <v>0.19700000000000001</v>
      </c>
      <c r="H538">
        <v>46</v>
      </c>
      <c r="I538">
        <v>0</v>
      </c>
    </row>
    <row r="539" spans="1:9" x14ac:dyDescent="0.2">
      <c r="A539">
        <v>0</v>
      </c>
      <c r="B539">
        <v>57</v>
      </c>
      <c r="C539">
        <v>60</v>
      </c>
      <c r="F539">
        <v>21.7</v>
      </c>
      <c r="G539">
        <v>0.73499999999999999</v>
      </c>
      <c r="H539">
        <v>67</v>
      </c>
      <c r="I539">
        <v>0</v>
      </c>
    </row>
    <row r="540" spans="1:9" x14ac:dyDescent="0.2">
      <c r="A540">
        <v>0</v>
      </c>
      <c r="B540">
        <v>127</v>
      </c>
      <c r="C540">
        <v>80</v>
      </c>
      <c r="D540">
        <v>37</v>
      </c>
      <c r="E540">
        <v>210</v>
      </c>
      <c r="F540">
        <v>36.299999999999997</v>
      </c>
      <c r="G540">
        <v>0.80400000000000005</v>
      </c>
      <c r="H540">
        <v>23</v>
      </c>
      <c r="I540">
        <v>0</v>
      </c>
    </row>
    <row r="541" spans="1:9" x14ac:dyDescent="0.2">
      <c r="A541">
        <v>3</v>
      </c>
      <c r="B541">
        <v>129</v>
      </c>
      <c r="C541">
        <v>92</v>
      </c>
      <c r="D541">
        <v>49</v>
      </c>
      <c r="E541">
        <v>155</v>
      </c>
      <c r="F541">
        <v>36.4</v>
      </c>
      <c r="G541">
        <v>0.96799999999999997</v>
      </c>
      <c r="H541">
        <v>32</v>
      </c>
      <c r="I541">
        <v>1</v>
      </c>
    </row>
    <row r="542" spans="1:9" x14ac:dyDescent="0.2">
      <c r="A542">
        <v>8</v>
      </c>
      <c r="B542">
        <v>100</v>
      </c>
      <c r="C542">
        <v>74</v>
      </c>
      <c r="D542">
        <v>40</v>
      </c>
      <c r="E542">
        <v>215</v>
      </c>
      <c r="F542">
        <v>39.4</v>
      </c>
      <c r="G542">
        <v>0.66100000000000003</v>
      </c>
      <c r="H542">
        <v>43</v>
      </c>
      <c r="I542">
        <v>1</v>
      </c>
    </row>
    <row r="543" spans="1:9" x14ac:dyDescent="0.2">
      <c r="A543">
        <v>3</v>
      </c>
      <c r="B543">
        <v>128</v>
      </c>
      <c r="C543">
        <v>72</v>
      </c>
      <c r="D543">
        <v>25</v>
      </c>
      <c r="E543">
        <v>190</v>
      </c>
      <c r="F543">
        <v>32.4</v>
      </c>
      <c r="G543">
        <v>0.54900000000000004</v>
      </c>
      <c r="H543">
        <v>27</v>
      </c>
      <c r="I543">
        <v>1</v>
      </c>
    </row>
    <row r="544" spans="1:9" x14ac:dyDescent="0.2">
      <c r="A544">
        <v>10</v>
      </c>
      <c r="B544">
        <v>90</v>
      </c>
      <c r="C544">
        <v>85</v>
      </c>
      <c r="D544">
        <v>32</v>
      </c>
      <c r="F544">
        <v>34.9</v>
      </c>
      <c r="G544">
        <v>0.82499999999999996</v>
      </c>
      <c r="H544">
        <v>56</v>
      </c>
      <c r="I544">
        <v>1</v>
      </c>
    </row>
    <row r="545" spans="1:9" x14ac:dyDescent="0.2">
      <c r="A545">
        <v>4</v>
      </c>
      <c r="B545">
        <v>84</v>
      </c>
      <c r="C545">
        <v>90</v>
      </c>
      <c r="D545">
        <v>23</v>
      </c>
      <c r="E545">
        <v>56</v>
      </c>
      <c r="F545">
        <v>39.5</v>
      </c>
      <c r="G545">
        <v>0.159</v>
      </c>
      <c r="H545">
        <v>25</v>
      </c>
      <c r="I545">
        <v>0</v>
      </c>
    </row>
    <row r="546" spans="1:9" x14ac:dyDescent="0.2">
      <c r="A546">
        <v>1</v>
      </c>
      <c r="B546">
        <v>88</v>
      </c>
      <c r="C546">
        <v>78</v>
      </c>
      <c r="D546">
        <v>29</v>
      </c>
      <c r="E546">
        <v>76</v>
      </c>
      <c r="F546">
        <v>32</v>
      </c>
      <c r="G546">
        <v>0.36499999999999999</v>
      </c>
      <c r="H546">
        <v>29</v>
      </c>
      <c r="I546">
        <v>0</v>
      </c>
    </row>
    <row r="547" spans="1:9" x14ac:dyDescent="0.2">
      <c r="A547">
        <v>8</v>
      </c>
      <c r="B547">
        <v>186</v>
      </c>
      <c r="C547">
        <v>90</v>
      </c>
      <c r="D547">
        <v>35</v>
      </c>
      <c r="E547">
        <v>225</v>
      </c>
      <c r="F547">
        <v>34.5</v>
      </c>
      <c r="G547">
        <v>0.42299999999999999</v>
      </c>
      <c r="H547">
        <v>37</v>
      </c>
      <c r="I547">
        <v>1</v>
      </c>
    </row>
    <row r="548" spans="1:9" x14ac:dyDescent="0.2">
      <c r="A548">
        <v>5</v>
      </c>
      <c r="B548">
        <v>187</v>
      </c>
      <c r="C548">
        <v>76</v>
      </c>
      <c r="D548">
        <v>27</v>
      </c>
      <c r="E548">
        <v>207</v>
      </c>
      <c r="F548">
        <v>43.6</v>
      </c>
      <c r="G548">
        <v>1.034</v>
      </c>
      <c r="H548">
        <v>53</v>
      </c>
      <c r="I548">
        <v>1</v>
      </c>
    </row>
    <row r="549" spans="1:9" x14ac:dyDescent="0.2">
      <c r="A549">
        <v>4</v>
      </c>
      <c r="B549">
        <v>131</v>
      </c>
      <c r="C549">
        <v>68</v>
      </c>
      <c r="D549">
        <v>21</v>
      </c>
      <c r="E549">
        <v>166</v>
      </c>
      <c r="F549">
        <v>33.1</v>
      </c>
      <c r="G549">
        <v>0.16</v>
      </c>
      <c r="H549">
        <v>28</v>
      </c>
      <c r="I549">
        <v>0</v>
      </c>
    </row>
    <row r="550" spans="1:9" x14ac:dyDescent="0.2">
      <c r="A550">
        <v>1</v>
      </c>
      <c r="B550">
        <v>164</v>
      </c>
      <c r="C550">
        <v>82</v>
      </c>
      <c r="D550">
        <v>43</v>
      </c>
      <c r="E550">
        <v>67</v>
      </c>
      <c r="F550">
        <v>32.799999999999997</v>
      </c>
      <c r="G550">
        <v>0.34100000000000003</v>
      </c>
      <c r="H550">
        <v>50</v>
      </c>
      <c r="I550">
        <v>0</v>
      </c>
    </row>
    <row r="551" spans="1:9" x14ac:dyDescent="0.2">
      <c r="A551">
        <v>4</v>
      </c>
      <c r="B551">
        <v>189</v>
      </c>
      <c r="C551">
        <v>110</v>
      </c>
      <c r="D551">
        <v>31</v>
      </c>
      <c r="F551">
        <v>28.5</v>
      </c>
      <c r="G551">
        <v>0.68</v>
      </c>
      <c r="H551">
        <v>37</v>
      </c>
      <c r="I551">
        <v>0</v>
      </c>
    </row>
    <row r="552" spans="1:9" x14ac:dyDescent="0.2">
      <c r="A552">
        <v>1</v>
      </c>
      <c r="B552">
        <v>116</v>
      </c>
      <c r="C552">
        <v>70</v>
      </c>
      <c r="D552">
        <v>28</v>
      </c>
      <c r="F552">
        <v>27.4</v>
      </c>
      <c r="G552">
        <v>0.20399999999999999</v>
      </c>
      <c r="H552">
        <v>21</v>
      </c>
      <c r="I552">
        <v>0</v>
      </c>
    </row>
    <row r="553" spans="1:9" x14ac:dyDescent="0.2">
      <c r="A553">
        <v>3</v>
      </c>
      <c r="B553">
        <v>84</v>
      </c>
      <c r="C553">
        <v>68</v>
      </c>
      <c r="D553">
        <v>30</v>
      </c>
      <c r="E553">
        <v>106</v>
      </c>
      <c r="F553">
        <v>31.9</v>
      </c>
      <c r="G553">
        <v>0.59099999999999997</v>
      </c>
      <c r="H553">
        <v>25</v>
      </c>
      <c r="I553">
        <v>0</v>
      </c>
    </row>
    <row r="554" spans="1:9" x14ac:dyDescent="0.2">
      <c r="A554">
        <v>6</v>
      </c>
      <c r="B554">
        <v>114</v>
      </c>
      <c r="C554">
        <v>88</v>
      </c>
      <c r="F554">
        <v>27.8</v>
      </c>
      <c r="G554">
        <v>0.247</v>
      </c>
      <c r="H554">
        <v>66</v>
      </c>
      <c r="I554">
        <v>0</v>
      </c>
    </row>
    <row r="555" spans="1:9" x14ac:dyDescent="0.2">
      <c r="A555">
        <v>1</v>
      </c>
      <c r="B555">
        <v>88</v>
      </c>
      <c r="C555">
        <v>62</v>
      </c>
      <c r="D555">
        <v>24</v>
      </c>
      <c r="E555">
        <v>44</v>
      </c>
      <c r="F555">
        <v>29.9</v>
      </c>
      <c r="G555">
        <v>0.42199999999999999</v>
      </c>
      <c r="H555">
        <v>23</v>
      </c>
      <c r="I555">
        <v>0</v>
      </c>
    </row>
    <row r="556" spans="1:9" x14ac:dyDescent="0.2">
      <c r="A556">
        <v>1</v>
      </c>
      <c r="B556">
        <v>84</v>
      </c>
      <c r="C556">
        <v>64</v>
      </c>
      <c r="D556">
        <v>23</v>
      </c>
      <c r="E556">
        <v>115</v>
      </c>
      <c r="F556">
        <v>36.9</v>
      </c>
      <c r="G556">
        <v>0.47099999999999997</v>
      </c>
      <c r="H556">
        <v>28</v>
      </c>
      <c r="I556">
        <v>0</v>
      </c>
    </row>
    <row r="557" spans="1:9" x14ac:dyDescent="0.2">
      <c r="A557">
        <v>7</v>
      </c>
      <c r="B557">
        <v>124</v>
      </c>
      <c r="C557">
        <v>70</v>
      </c>
      <c r="D557">
        <v>33</v>
      </c>
      <c r="E557">
        <v>215</v>
      </c>
      <c r="F557">
        <v>25.5</v>
      </c>
      <c r="G557">
        <v>0.161</v>
      </c>
      <c r="H557">
        <v>37</v>
      </c>
      <c r="I557">
        <v>0</v>
      </c>
    </row>
    <row r="558" spans="1:9" x14ac:dyDescent="0.2">
      <c r="A558">
        <v>1</v>
      </c>
      <c r="B558">
        <v>97</v>
      </c>
      <c r="C558">
        <v>70</v>
      </c>
      <c r="D558">
        <v>40</v>
      </c>
      <c r="F558">
        <v>38.1</v>
      </c>
      <c r="G558">
        <v>0.218</v>
      </c>
      <c r="H558">
        <v>30</v>
      </c>
      <c r="I558">
        <v>0</v>
      </c>
    </row>
    <row r="559" spans="1:9" x14ac:dyDescent="0.2">
      <c r="A559">
        <v>8</v>
      </c>
      <c r="B559">
        <v>110</v>
      </c>
      <c r="C559">
        <v>76</v>
      </c>
      <c r="F559">
        <v>27.8</v>
      </c>
      <c r="G559">
        <v>0.23699999999999999</v>
      </c>
      <c r="H559">
        <v>58</v>
      </c>
      <c r="I559">
        <v>0</v>
      </c>
    </row>
    <row r="560" spans="1:9" x14ac:dyDescent="0.2">
      <c r="A560">
        <v>11</v>
      </c>
      <c r="B560">
        <v>103</v>
      </c>
      <c r="C560">
        <v>68</v>
      </c>
      <c r="D560">
        <v>40</v>
      </c>
      <c r="F560">
        <v>46.2</v>
      </c>
      <c r="G560">
        <v>0.126</v>
      </c>
      <c r="H560">
        <v>42</v>
      </c>
      <c r="I560">
        <v>0</v>
      </c>
    </row>
    <row r="561" spans="1:9" x14ac:dyDescent="0.2">
      <c r="A561">
        <v>11</v>
      </c>
      <c r="B561">
        <v>85</v>
      </c>
      <c r="C561">
        <v>74</v>
      </c>
      <c r="F561">
        <v>30.1</v>
      </c>
      <c r="G561">
        <v>0.3</v>
      </c>
      <c r="H561">
        <v>35</v>
      </c>
      <c r="I561">
        <v>0</v>
      </c>
    </row>
    <row r="562" spans="1:9" x14ac:dyDescent="0.2">
      <c r="A562">
        <v>6</v>
      </c>
      <c r="B562">
        <v>125</v>
      </c>
      <c r="C562">
        <v>76</v>
      </c>
      <c r="F562">
        <v>33.799999999999997</v>
      </c>
      <c r="G562">
        <v>0.121</v>
      </c>
      <c r="H562">
        <v>54</v>
      </c>
      <c r="I562">
        <v>1</v>
      </c>
    </row>
    <row r="563" spans="1:9" x14ac:dyDescent="0.2">
      <c r="A563">
        <v>0</v>
      </c>
      <c r="B563">
        <v>198</v>
      </c>
      <c r="C563">
        <v>66</v>
      </c>
      <c r="D563">
        <v>32</v>
      </c>
      <c r="E563">
        <v>274</v>
      </c>
      <c r="F563">
        <v>41.3</v>
      </c>
      <c r="G563">
        <v>0.502</v>
      </c>
      <c r="H563">
        <v>28</v>
      </c>
      <c r="I563">
        <v>1</v>
      </c>
    </row>
    <row r="564" spans="1:9" x14ac:dyDescent="0.2">
      <c r="A564">
        <v>1</v>
      </c>
      <c r="B564">
        <v>87</v>
      </c>
      <c r="C564">
        <v>68</v>
      </c>
      <c r="D564">
        <v>34</v>
      </c>
      <c r="E564">
        <v>77</v>
      </c>
      <c r="F564">
        <v>37.6</v>
      </c>
      <c r="G564">
        <v>0.40100000000000002</v>
      </c>
      <c r="H564">
        <v>24</v>
      </c>
      <c r="I564">
        <v>0</v>
      </c>
    </row>
    <row r="565" spans="1:9" x14ac:dyDescent="0.2">
      <c r="A565">
        <v>6</v>
      </c>
      <c r="B565">
        <v>99</v>
      </c>
      <c r="C565">
        <v>60</v>
      </c>
      <c r="D565">
        <v>19</v>
      </c>
      <c r="E565">
        <v>54</v>
      </c>
      <c r="F565">
        <v>26.9</v>
      </c>
      <c r="G565">
        <v>0.497</v>
      </c>
      <c r="H565">
        <v>32</v>
      </c>
      <c r="I565">
        <v>0</v>
      </c>
    </row>
    <row r="566" spans="1:9" x14ac:dyDescent="0.2">
      <c r="A566">
        <v>0</v>
      </c>
      <c r="B566">
        <v>91</v>
      </c>
      <c r="C566">
        <v>80</v>
      </c>
      <c r="F566">
        <v>32.4</v>
      </c>
      <c r="G566">
        <v>0.60099999999999998</v>
      </c>
      <c r="H566">
        <v>27</v>
      </c>
      <c r="I566">
        <v>0</v>
      </c>
    </row>
    <row r="567" spans="1:9" x14ac:dyDescent="0.2">
      <c r="A567">
        <v>2</v>
      </c>
      <c r="B567">
        <v>95</v>
      </c>
      <c r="C567">
        <v>54</v>
      </c>
      <c r="D567">
        <v>14</v>
      </c>
      <c r="E567">
        <v>88</v>
      </c>
      <c r="F567">
        <v>26.1</v>
      </c>
      <c r="G567">
        <v>0.748</v>
      </c>
      <c r="H567">
        <v>22</v>
      </c>
      <c r="I567">
        <v>0</v>
      </c>
    </row>
    <row r="568" spans="1:9" x14ac:dyDescent="0.2">
      <c r="A568">
        <v>1</v>
      </c>
      <c r="B568">
        <v>99</v>
      </c>
      <c r="C568">
        <v>72</v>
      </c>
      <c r="D568">
        <v>30</v>
      </c>
      <c r="E568">
        <v>18</v>
      </c>
      <c r="F568">
        <v>38.6</v>
      </c>
      <c r="G568">
        <v>0.41199999999999998</v>
      </c>
      <c r="H568">
        <v>21</v>
      </c>
      <c r="I568">
        <v>0</v>
      </c>
    </row>
    <row r="569" spans="1:9" x14ac:dyDescent="0.2">
      <c r="A569">
        <v>6</v>
      </c>
      <c r="B569">
        <v>92</v>
      </c>
      <c r="C569">
        <v>62</v>
      </c>
      <c r="D569">
        <v>32</v>
      </c>
      <c r="E569">
        <v>126</v>
      </c>
      <c r="F569">
        <v>32</v>
      </c>
      <c r="G569">
        <v>8.5000000000000006E-2</v>
      </c>
      <c r="H569">
        <v>46</v>
      </c>
      <c r="I569">
        <v>0</v>
      </c>
    </row>
    <row r="570" spans="1:9" x14ac:dyDescent="0.2">
      <c r="A570">
        <v>4</v>
      </c>
      <c r="B570">
        <v>154</v>
      </c>
      <c r="C570">
        <v>72</v>
      </c>
      <c r="D570">
        <v>29</v>
      </c>
      <c r="E570">
        <v>126</v>
      </c>
      <c r="F570">
        <v>31.3</v>
      </c>
      <c r="G570">
        <v>0.33800000000000002</v>
      </c>
      <c r="H570">
        <v>37</v>
      </c>
      <c r="I570">
        <v>0</v>
      </c>
    </row>
    <row r="571" spans="1:9" x14ac:dyDescent="0.2">
      <c r="A571">
        <v>0</v>
      </c>
      <c r="B571">
        <v>121</v>
      </c>
      <c r="C571">
        <v>66</v>
      </c>
      <c r="D571">
        <v>30</v>
      </c>
      <c r="E571">
        <v>165</v>
      </c>
      <c r="F571">
        <v>34.299999999999997</v>
      </c>
      <c r="G571">
        <v>0.20300000000000001</v>
      </c>
      <c r="H571">
        <v>33</v>
      </c>
      <c r="I571">
        <v>1</v>
      </c>
    </row>
    <row r="572" spans="1:9" x14ac:dyDescent="0.2">
      <c r="A572">
        <v>3</v>
      </c>
      <c r="B572">
        <v>78</v>
      </c>
      <c r="C572">
        <v>70</v>
      </c>
      <c r="F572">
        <v>32.5</v>
      </c>
      <c r="G572">
        <v>0.27</v>
      </c>
      <c r="H572">
        <v>39</v>
      </c>
      <c r="I572">
        <v>0</v>
      </c>
    </row>
    <row r="573" spans="1:9" x14ac:dyDescent="0.2">
      <c r="A573">
        <v>2</v>
      </c>
      <c r="B573">
        <v>130</v>
      </c>
      <c r="C573">
        <v>96</v>
      </c>
      <c r="F573">
        <v>22.6</v>
      </c>
      <c r="G573">
        <v>0.26800000000000002</v>
      </c>
      <c r="H573">
        <v>21</v>
      </c>
      <c r="I573">
        <v>0</v>
      </c>
    </row>
    <row r="574" spans="1:9" x14ac:dyDescent="0.2">
      <c r="A574">
        <v>3</v>
      </c>
      <c r="B574">
        <v>111</v>
      </c>
      <c r="C574">
        <v>58</v>
      </c>
      <c r="D574">
        <v>31</v>
      </c>
      <c r="E574">
        <v>44</v>
      </c>
      <c r="F574">
        <v>29.5</v>
      </c>
      <c r="G574">
        <v>0.43</v>
      </c>
      <c r="H574">
        <v>22</v>
      </c>
      <c r="I574">
        <v>0</v>
      </c>
    </row>
    <row r="575" spans="1:9" x14ac:dyDescent="0.2">
      <c r="A575">
        <v>2</v>
      </c>
      <c r="B575">
        <v>98</v>
      </c>
      <c r="C575">
        <v>60</v>
      </c>
      <c r="D575">
        <v>17</v>
      </c>
      <c r="E575">
        <v>120</v>
      </c>
      <c r="F575">
        <v>34.700000000000003</v>
      </c>
      <c r="G575">
        <v>0.19800000000000001</v>
      </c>
      <c r="H575">
        <v>22</v>
      </c>
      <c r="I575">
        <v>0</v>
      </c>
    </row>
    <row r="576" spans="1:9" x14ac:dyDescent="0.2">
      <c r="A576">
        <v>1</v>
      </c>
      <c r="B576">
        <v>143</v>
      </c>
      <c r="C576">
        <v>86</v>
      </c>
      <c r="D576">
        <v>30</v>
      </c>
      <c r="E576">
        <v>330</v>
      </c>
      <c r="F576">
        <v>30.1</v>
      </c>
      <c r="G576">
        <v>0.89200000000000002</v>
      </c>
      <c r="H576">
        <v>23</v>
      </c>
      <c r="I576">
        <v>0</v>
      </c>
    </row>
    <row r="577" spans="1:9" x14ac:dyDescent="0.2">
      <c r="A577">
        <v>1</v>
      </c>
      <c r="B577">
        <v>119</v>
      </c>
      <c r="C577">
        <v>44</v>
      </c>
      <c r="D577">
        <v>47</v>
      </c>
      <c r="E577">
        <v>63</v>
      </c>
      <c r="F577">
        <v>35.5</v>
      </c>
      <c r="G577">
        <v>0.28000000000000003</v>
      </c>
      <c r="H577">
        <v>25</v>
      </c>
      <c r="I577">
        <v>0</v>
      </c>
    </row>
    <row r="578" spans="1:9" x14ac:dyDescent="0.2">
      <c r="A578">
        <v>6</v>
      </c>
      <c r="B578">
        <v>108</v>
      </c>
      <c r="C578">
        <v>44</v>
      </c>
      <c r="D578">
        <v>20</v>
      </c>
      <c r="E578">
        <v>130</v>
      </c>
      <c r="F578">
        <v>24</v>
      </c>
      <c r="G578">
        <v>0.81299999999999994</v>
      </c>
      <c r="H578">
        <v>35</v>
      </c>
      <c r="I578">
        <v>0</v>
      </c>
    </row>
    <row r="579" spans="1:9" x14ac:dyDescent="0.2">
      <c r="A579">
        <v>2</v>
      </c>
      <c r="B579">
        <v>118</v>
      </c>
      <c r="C579">
        <v>80</v>
      </c>
      <c r="F579">
        <v>42.9</v>
      </c>
      <c r="G579">
        <v>0.69299999999999995</v>
      </c>
      <c r="H579">
        <v>21</v>
      </c>
      <c r="I579">
        <v>1</v>
      </c>
    </row>
    <row r="580" spans="1:9" x14ac:dyDescent="0.2">
      <c r="A580">
        <v>10</v>
      </c>
      <c r="B580">
        <v>133</v>
      </c>
      <c r="C580">
        <v>68</v>
      </c>
      <c r="F580">
        <v>27</v>
      </c>
      <c r="G580">
        <v>0.245</v>
      </c>
      <c r="H580">
        <v>36</v>
      </c>
      <c r="I580">
        <v>0</v>
      </c>
    </row>
    <row r="581" spans="1:9" x14ac:dyDescent="0.2">
      <c r="A581">
        <v>2</v>
      </c>
      <c r="B581">
        <v>197</v>
      </c>
      <c r="C581">
        <v>70</v>
      </c>
      <c r="D581">
        <v>99</v>
      </c>
      <c r="F581">
        <v>34.700000000000003</v>
      </c>
      <c r="G581">
        <v>0.57499999999999996</v>
      </c>
      <c r="H581">
        <v>62</v>
      </c>
      <c r="I581">
        <v>1</v>
      </c>
    </row>
    <row r="582" spans="1:9" x14ac:dyDescent="0.2">
      <c r="A582">
        <v>0</v>
      </c>
      <c r="B582">
        <v>151</v>
      </c>
      <c r="C582">
        <v>90</v>
      </c>
      <c r="D582">
        <v>46</v>
      </c>
      <c r="F582">
        <v>42.1</v>
      </c>
      <c r="G582">
        <v>0.371</v>
      </c>
      <c r="H582">
        <v>21</v>
      </c>
      <c r="I582">
        <v>1</v>
      </c>
    </row>
    <row r="583" spans="1:9" x14ac:dyDescent="0.2">
      <c r="A583">
        <v>6</v>
      </c>
      <c r="B583">
        <v>109</v>
      </c>
      <c r="C583">
        <v>60</v>
      </c>
      <c r="D583">
        <v>27</v>
      </c>
      <c r="F583">
        <v>25</v>
      </c>
      <c r="G583">
        <v>0.20599999999999999</v>
      </c>
      <c r="H583">
        <v>27</v>
      </c>
      <c r="I583">
        <v>0</v>
      </c>
    </row>
    <row r="584" spans="1:9" x14ac:dyDescent="0.2">
      <c r="A584">
        <v>12</v>
      </c>
      <c r="B584">
        <v>121</v>
      </c>
      <c r="C584">
        <v>78</v>
      </c>
      <c r="D584">
        <v>17</v>
      </c>
      <c r="F584">
        <v>26.5</v>
      </c>
      <c r="G584">
        <v>0.25900000000000001</v>
      </c>
      <c r="H584">
        <v>62</v>
      </c>
      <c r="I584">
        <v>0</v>
      </c>
    </row>
    <row r="585" spans="1:9" x14ac:dyDescent="0.2">
      <c r="A585">
        <v>8</v>
      </c>
      <c r="B585">
        <v>100</v>
      </c>
      <c r="C585">
        <v>76</v>
      </c>
      <c r="F585">
        <v>38.700000000000003</v>
      </c>
      <c r="G585">
        <v>0.19</v>
      </c>
      <c r="H585">
        <v>42</v>
      </c>
      <c r="I585">
        <v>0</v>
      </c>
    </row>
    <row r="586" spans="1:9" x14ac:dyDescent="0.2">
      <c r="A586">
        <v>8</v>
      </c>
      <c r="B586">
        <v>124</v>
      </c>
      <c r="C586">
        <v>76</v>
      </c>
      <c r="D586">
        <v>24</v>
      </c>
      <c r="E586">
        <v>600</v>
      </c>
      <c r="F586">
        <v>28.7</v>
      </c>
      <c r="G586">
        <v>0.68700000000000006</v>
      </c>
      <c r="H586">
        <v>52</v>
      </c>
      <c r="I586">
        <v>1</v>
      </c>
    </row>
    <row r="587" spans="1:9" x14ac:dyDescent="0.2">
      <c r="A587">
        <v>1</v>
      </c>
      <c r="B587">
        <v>93</v>
      </c>
      <c r="C587">
        <v>56</v>
      </c>
      <c r="D587">
        <v>11</v>
      </c>
      <c r="F587">
        <v>22.5</v>
      </c>
      <c r="G587">
        <v>0.41699999999999998</v>
      </c>
      <c r="H587">
        <v>22</v>
      </c>
      <c r="I587">
        <v>0</v>
      </c>
    </row>
    <row r="588" spans="1:9" x14ac:dyDescent="0.2">
      <c r="A588">
        <v>8</v>
      </c>
      <c r="B588">
        <v>143</v>
      </c>
      <c r="C588">
        <v>66</v>
      </c>
      <c r="F588">
        <v>34.9</v>
      </c>
      <c r="G588">
        <v>0.129</v>
      </c>
      <c r="H588">
        <v>41</v>
      </c>
      <c r="I588">
        <v>1</v>
      </c>
    </row>
    <row r="589" spans="1:9" x14ac:dyDescent="0.2">
      <c r="A589">
        <v>6</v>
      </c>
      <c r="B589">
        <v>103</v>
      </c>
      <c r="C589">
        <v>66</v>
      </c>
      <c r="F589">
        <v>24.3</v>
      </c>
      <c r="G589">
        <v>0.249</v>
      </c>
      <c r="H589">
        <v>29</v>
      </c>
      <c r="I589">
        <v>0</v>
      </c>
    </row>
    <row r="590" spans="1:9" x14ac:dyDescent="0.2">
      <c r="A590">
        <v>3</v>
      </c>
      <c r="B590">
        <v>176</v>
      </c>
      <c r="C590">
        <v>86</v>
      </c>
      <c r="D590">
        <v>27</v>
      </c>
      <c r="E590">
        <v>156</v>
      </c>
      <c r="F590">
        <v>33.299999999999997</v>
      </c>
      <c r="G590">
        <v>1.1539999999999999</v>
      </c>
      <c r="H590">
        <v>52</v>
      </c>
      <c r="I590">
        <v>1</v>
      </c>
    </row>
    <row r="591" spans="1:9" x14ac:dyDescent="0.2">
      <c r="A591">
        <v>0</v>
      </c>
      <c r="B591">
        <v>73</v>
      </c>
      <c r="F591">
        <v>21.1</v>
      </c>
      <c r="G591">
        <v>0.34200000000000003</v>
      </c>
      <c r="H591">
        <v>25</v>
      </c>
      <c r="I591">
        <v>0</v>
      </c>
    </row>
    <row r="592" spans="1:9" x14ac:dyDescent="0.2">
      <c r="A592">
        <v>11</v>
      </c>
      <c r="B592">
        <v>111</v>
      </c>
      <c r="C592">
        <v>84</v>
      </c>
      <c r="D592">
        <v>40</v>
      </c>
      <c r="F592">
        <v>46.8</v>
      </c>
      <c r="G592">
        <v>0.92500000000000004</v>
      </c>
      <c r="H592">
        <v>45</v>
      </c>
      <c r="I592">
        <v>1</v>
      </c>
    </row>
    <row r="593" spans="1:9" x14ac:dyDescent="0.2">
      <c r="A593">
        <v>2</v>
      </c>
      <c r="B593">
        <v>112</v>
      </c>
      <c r="C593">
        <v>78</v>
      </c>
      <c r="D593">
        <v>50</v>
      </c>
      <c r="E593">
        <v>140</v>
      </c>
      <c r="F593">
        <v>39.4</v>
      </c>
      <c r="G593">
        <v>0.17499999999999999</v>
      </c>
      <c r="H593">
        <v>24</v>
      </c>
      <c r="I593">
        <v>0</v>
      </c>
    </row>
    <row r="594" spans="1:9" x14ac:dyDescent="0.2">
      <c r="A594">
        <v>3</v>
      </c>
      <c r="B594">
        <v>132</v>
      </c>
      <c r="C594">
        <v>80</v>
      </c>
      <c r="F594">
        <v>34.4</v>
      </c>
      <c r="G594">
        <v>0.40200000000000002</v>
      </c>
      <c r="H594">
        <v>44</v>
      </c>
      <c r="I594">
        <v>1</v>
      </c>
    </row>
    <row r="595" spans="1:9" x14ac:dyDescent="0.2">
      <c r="A595">
        <v>2</v>
      </c>
      <c r="B595">
        <v>82</v>
      </c>
      <c r="C595">
        <v>52</v>
      </c>
      <c r="D595">
        <v>22</v>
      </c>
      <c r="E595">
        <v>115</v>
      </c>
      <c r="F595">
        <v>28.5</v>
      </c>
      <c r="G595">
        <v>1.6990000000000001</v>
      </c>
      <c r="H595">
        <v>25</v>
      </c>
      <c r="I595">
        <v>0</v>
      </c>
    </row>
    <row r="596" spans="1:9" x14ac:dyDescent="0.2">
      <c r="A596">
        <v>6</v>
      </c>
      <c r="B596">
        <v>123</v>
      </c>
      <c r="C596">
        <v>72</v>
      </c>
      <c r="D596">
        <v>45</v>
      </c>
      <c r="E596">
        <v>230</v>
      </c>
      <c r="F596">
        <v>33.6</v>
      </c>
      <c r="G596">
        <v>0.73299999999999998</v>
      </c>
      <c r="H596">
        <v>34</v>
      </c>
      <c r="I596">
        <v>0</v>
      </c>
    </row>
    <row r="597" spans="1:9" x14ac:dyDescent="0.2">
      <c r="A597">
        <v>0</v>
      </c>
      <c r="B597">
        <v>188</v>
      </c>
      <c r="C597">
        <v>82</v>
      </c>
      <c r="D597">
        <v>14</v>
      </c>
      <c r="E597">
        <v>185</v>
      </c>
      <c r="F597">
        <v>32</v>
      </c>
      <c r="G597">
        <v>0.68200000000000005</v>
      </c>
      <c r="H597">
        <v>22</v>
      </c>
      <c r="I597">
        <v>1</v>
      </c>
    </row>
    <row r="598" spans="1:9" x14ac:dyDescent="0.2">
      <c r="A598">
        <v>0</v>
      </c>
      <c r="B598">
        <v>67</v>
      </c>
      <c r="C598">
        <v>76</v>
      </c>
      <c r="F598">
        <v>45.3</v>
      </c>
      <c r="G598">
        <v>0.19400000000000001</v>
      </c>
      <c r="H598">
        <v>46</v>
      </c>
      <c r="I598">
        <v>0</v>
      </c>
    </row>
    <row r="599" spans="1:9" x14ac:dyDescent="0.2">
      <c r="A599">
        <v>1</v>
      </c>
      <c r="B599">
        <v>89</v>
      </c>
      <c r="C599">
        <v>24</v>
      </c>
      <c r="D599">
        <v>19</v>
      </c>
      <c r="E599">
        <v>25</v>
      </c>
      <c r="F599">
        <v>27.8</v>
      </c>
      <c r="G599">
        <v>0.55900000000000005</v>
      </c>
      <c r="H599">
        <v>21</v>
      </c>
      <c r="I599">
        <v>0</v>
      </c>
    </row>
    <row r="600" spans="1:9" x14ac:dyDescent="0.2">
      <c r="A600">
        <v>1</v>
      </c>
      <c r="B600">
        <v>173</v>
      </c>
      <c r="C600">
        <v>74</v>
      </c>
      <c r="F600">
        <v>36.799999999999997</v>
      </c>
      <c r="G600">
        <v>8.7999999999999995E-2</v>
      </c>
      <c r="H600">
        <v>38</v>
      </c>
      <c r="I600">
        <v>1</v>
      </c>
    </row>
    <row r="601" spans="1:9" x14ac:dyDescent="0.2">
      <c r="A601">
        <v>1</v>
      </c>
      <c r="B601">
        <v>109</v>
      </c>
      <c r="C601">
        <v>38</v>
      </c>
      <c r="D601">
        <v>18</v>
      </c>
      <c r="E601">
        <v>120</v>
      </c>
      <c r="F601">
        <v>23.1</v>
      </c>
      <c r="G601">
        <v>0.40699999999999997</v>
      </c>
      <c r="H601">
        <v>26</v>
      </c>
      <c r="I601">
        <v>0</v>
      </c>
    </row>
    <row r="602" spans="1:9" x14ac:dyDescent="0.2">
      <c r="A602">
        <v>1</v>
      </c>
      <c r="B602">
        <v>108</v>
      </c>
      <c r="C602">
        <v>88</v>
      </c>
      <c r="D602">
        <v>19</v>
      </c>
      <c r="F602">
        <v>27.1</v>
      </c>
      <c r="G602">
        <v>0.4</v>
      </c>
      <c r="H602">
        <v>24</v>
      </c>
      <c r="I602">
        <v>0</v>
      </c>
    </row>
    <row r="603" spans="1:9" x14ac:dyDescent="0.2">
      <c r="A603">
        <v>6</v>
      </c>
      <c r="B603">
        <v>96</v>
      </c>
      <c r="F603">
        <v>23.7</v>
      </c>
      <c r="G603">
        <v>0.19</v>
      </c>
      <c r="H603">
        <v>28</v>
      </c>
      <c r="I603">
        <v>0</v>
      </c>
    </row>
    <row r="604" spans="1:9" x14ac:dyDescent="0.2">
      <c r="A604">
        <v>1</v>
      </c>
      <c r="B604">
        <v>124</v>
      </c>
      <c r="C604">
        <v>74</v>
      </c>
      <c r="D604">
        <v>36</v>
      </c>
      <c r="F604">
        <v>27.8</v>
      </c>
      <c r="G604">
        <v>0.1</v>
      </c>
      <c r="H604">
        <v>30</v>
      </c>
      <c r="I604">
        <v>0</v>
      </c>
    </row>
    <row r="605" spans="1:9" x14ac:dyDescent="0.2">
      <c r="A605">
        <v>7</v>
      </c>
      <c r="B605">
        <v>150</v>
      </c>
      <c r="C605">
        <v>78</v>
      </c>
      <c r="D605">
        <v>29</v>
      </c>
      <c r="E605">
        <v>126</v>
      </c>
      <c r="F605">
        <v>35.200000000000003</v>
      </c>
      <c r="G605">
        <v>0.69199999999999995</v>
      </c>
      <c r="H605">
        <v>54</v>
      </c>
      <c r="I605">
        <v>1</v>
      </c>
    </row>
    <row r="606" spans="1:9" x14ac:dyDescent="0.2">
      <c r="A606">
        <v>4</v>
      </c>
      <c r="B606">
        <v>183</v>
      </c>
      <c r="F606">
        <v>28.4</v>
      </c>
      <c r="G606">
        <v>0.21199999999999999</v>
      </c>
      <c r="H606">
        <v>36</v>
      </c>
      <c r="I606">
        <v>1</v>
      </c>
    </row>
    <row r="607" spans="1:9" x14ac:dyDescent="0.2">
      <c r="A607">
        <v>1</v>
      </c>
      <c r="B607">
        <v>124</v>
      </c>
      <c r="C607">
        <v>60</v>
      </c>
      <c r="D607">
        <v>32</v>
      </c>
      <c r="F607">
        <v>35.799999999999997</v>
      </c>
      <c r="G607">
        <v>0.51400000000000001</v>
      </c>
      <c r="H607">
        <v>21</v>
      </c>
      <c r="I607">
        <v>0</v>
      </c>
    </row>
    <row r="608" spans="1:9" x14ac:dyDescent="0.2">
      <c r="A608">
        <v>1</v>
      </c>
      <c r="B608">
        <v>181</v>
      </c>
      <c r="C608">
        <v>78</v>
      </c>
      <c r="D608">
        <v>42</v>
      </c>
      <c r="E608">
        <v>293</v>
      </c>
      <c r="F608">
        <v>40</v>
      </c>
      <c r="G608">
        <v>1.258</v>
      </c>
      <c r="H608">
        <v>22</v>
      </c>
      <c r="I608">
        <v>1</v>
      </c>
    </row>
    <row r="609" spans="1:9" x14ac:dyDescent="0.2">
      <c r="A609">
        <v>1</v>
      </c>
      <c r="B609">
        <v>92</v>
      </c>
      <c r="C609">
        <v>62</v>
      </c>
      <c r="D609">
        <v>25</v>
      </c>
      <c r="E609">
        <v>41</v>
      </c>
      <c r="F609">
        <v>19.5</v>
      </c>
      <c r="G609">
        <v>0.48199999999999998</v>
      </c>
      <c r="H609">
        <v>25</v>
      </c>
      <c r="I609">
        <v>0</v>
      </c>
    </row>
    <row r="610" spans="1:9" x14ac:dyDescent="0.2">
      <c r="A610">
        <v>0</v>
      </c>
      <c r="B610">
        <v>152</v>
      </c>
      <c r="C610">
        <v>82</v>
      </c>
      <c r="D610">
        <v>39</v>
      </c>
      <c r="E610">
        <v>272</v>
      </c>
      <c r="F610">
        <v>41.5</v>
      </c>
      <c r="G610">
        <v>0.27</v>
      </c>
      <c r="H610">
        <v>27</v>
      </c>
      <c r="I610">
        <v>0</v>
      </c>
    </row>
    <row r="611" spans="1:9" x14ac:dyDescent="0.2">
      <c r="A611">
        <v>1</v>
      </c>
      <c r="B611">
        <v>111</v>
      </c>
      <c r="C611">
        <v>62</v>
      </c>
      <c r="D611">
        <v>13</v>
      </c>
      <c r="E611">
        <v>182</v>
      </c>
      <c r="F611">
        <v>24</v>
      </c>
      <c r="G611">
        <v>0.13800000000000001</v>
      </c>
      <c r="H611">
        <v>23</v>
      </c>
      <c r="I611">
        <v>0</v>
      </c>
    </row>
    <row r="612" spans="1:9" x14ac:dyDescent="0.2">
      <c r="A612">
        <v>3</v>
      </c>
      <c r="B612">
        <v>106</v>
      </c>
      <c r="C612">
        <v>54</v>
      </c>
      <c r="D612">
        <v>21</v>
      </c>
      <c r="E612">
        <v>158</v>
      </c>
      <c r="F612">
        <v>30.9</v>
      </c>
      <c r="G612">
        <v>0.29199999999999998</v>
      </c>
      <c r="H612">
        <v>24</v>
      </c>
      <c r="I612">
        <v>0</v>
      </c>
    </row>
    <row r="613" spans="1:9" x14ac:dyDescent="0.2">
      <c r="A613">
        <v>3</v>
      </c>
      <c r="B613">
        <v>174</v>
      </c>
      <c r="C613">
        <v>58</v>
      </c>
      <c r="D613">
        <v>22</v>
      </c>
      <c r="E613">
        <v>194</v>
      </c>
      <c r="F613">
        <v>32.9</v>
      </c>
      <c r="G613">
        <v>0.59299999999999997</v>
      </c>
      <c r="H613">
        <v>36</v>
      </c>
      <c r="I613">
        <v>1</v>
      </c>
    </row>
    <row r="614" spans="1:9" x14ac:dyDescent="0.2">
      <c r="A614">
        <v>7</v>
      </c>
      <c r="B614">
        <v>168</v>
      </c>
      <c r="C614">
        <v>88</v>
      </c>
      <c r="D614">
        <v>42</v>
      </c>
      <c r="E614">
        <v>321</v>
      </c>
      <c r="F614">
        <v>38.200000000000003</v>
      </c>
      <c r="G614">
        <v>0.78700000000000003</v>
      </c>
      <c r="H614">
        <v>40</v>
      </c>
      <c r="I614">
        <v>1</v>
      </c>
    </row>
    <row r="615" spans="1:9" x14ac:dyDescent="0.2">
      <c r="A615">
        <v>6</v>
      </c>
      <c r="B615">
        <v>105</v>
      </c>
      <c r="C615">
        <v>80</v>
      </c>
      <c r="D615">
        <v>28</v>
      </c>
      <c r="F615">
        <v>32.5</v>
      </c>
      <c r="G615">
        <v>0.878</v>
      </c>
      <c r="H615">
        <v>26</v>
      </c>
      <c r="I615">
        <v>0</v>
      </c>
    </row>
    <row r="616" spans="1:9" x14ac:dyDescent="0.2">
      <c r="A616">
        <v>11</v>
      </c>
      <c r="B616">
        <v>138</v>
      </c>
      <c r="C616">
        <v>74</v>
      </c>
      <c r="D616">
        <v>26</v>
      </c>
      <c r="E616">
        <v>144</v>
      </c>
      <c r="F616">
        <v>36.1</v>
      </c>
      <c r="G616">
        <v>0.55700000000000005</v>
      </c>
      <c r="H616">
        <v>50</v>
      </c>
      <c r="I616">
        <v>1</v>
      </c>
    </row>
    <row r="617" spans="1:9" x14ac:dyDescent="0.2">
      <c r="A617">
        <v>3</v>
      </c>
      <c r="B617">
        <v>106</v>
      </c>
      <c r="C617">
        <v>72</v>
      </c>
      <c r="F617">
        <v>25.8</v>
      </c>
      <c r="G617">
        <v>0.20699999999999999</v>
      </c>
      <c r="H617">
        <v>27</v>
      </c>
      <c r="I617">
        <v>0</v>
      </c>
    </row>
    <row r="618" spans="1:9" x14ac:dyDescent="0.2">
      <c r="A618">
        <v>6</v>
      </c>
      <c r="B618">
        <v>117</v>
      </c>
      <c r="C618">
        <v>96</v>
      </c>
      <c r="F618">
        <v>28.7</v>
      </c>
      <c r="G618">
        <v>0.157</v>
      </c>
      <c r="H618">
        <v>30</v>
      </c>
      <c r="I618">
        <v>0</v>
      </c>
    </row>
    <row r="619" spans="1:9" x14ac:dyDescent="0.2">
      <c r="A619">
        <v>2</v>
      </c>
      <c r="B619">
        <v>68</v>
      </c>
      <c r="C619">
        <v>62</v>
      </c>
      <c r="D619">
        <v>13</v>
      </c>
      <c r="E619">
        <v>15</v>
      </c>
      <c r="F619">
        <v>20.100000000000001</v>
      </c>
      <c r="G619">
        <v>0.25700000000000001</v>
      </c>
      <c r="H619">
        <v>23</v>
      </c>
      <c r="I619">
        <v>0</v>
      </c>
    </row>
    <row r="620" spans="1:9" x14ac:dyDescent="0.2">
      <c r="A620">
        <v>9</v>
      </c>
      <c r="B620">
        <v>112</v>
      </c>
      <c r="C620">
        <v>82</v>
      </c>
      <c r="D620">
        <v>24</v>
      </c>
      <c r="F620">
        <v>28.2</v>
      </c>
      <c r="G620">
        <v>1.282</v>
      </c>
      <c r="H620">
        <v>50</v>
      </c>
      <c r="I620">
        <v>1</v>
      </c>
    </row>
    <row r="621" spans="1:9" x14ac:dyDescent="0.2">
      <c r="A621">
        <v>0</v>
      </c>
      <c r="B621">
        <v>119</v>
      </c>
      <c r="F621">
        <v>32.4</v>
      </c>
      <c r="G621">
        <v>0.14099999999999999</v>
      </c>
      <c r="H621">
        <v>24</v>
      </c>
      <c r="I621">
        <v>1</v>
      </c>
    </row>
    <row r="622" spans="1:9" x14ac:dyDescent="0.2">
      <c r="A622">
        <v>2</v>
      </c>
      <c r="B622">
        <v>112</v>
      </c>
      <c r="C622">
        <v>86</v>
      </c>
      <c r="D622">
        <v>42</v>
      </c>
      <c r="E622">
        <v>160</v>
      </c>
      <c r="F622">
        <v>38.4</v>
      </c>
      <c r="G622">
        <v>0.246</v>
      </c>
      <c r="H622">
        <v>28</v>
      </c>
      <c r="I622">
        <v>0</v>
      </c>
    </row>
    <row r="623" spans="1:9" x14ac:dyDescent="0.2">
      <c r="A623">
        <v>2</v>
      </c>
      <c r="B623">
        <v>92</v>
      </c>
      <c r="C623">
        <v>76</v>
      </c>
      <c r="D623">
        <v>20</v>
      </c>
      <c r="F623">
        <v>24.2</v>
      </c>
      <c r="G623">
        <v>1.698</v>
      </c>
      <c r="H623">
        <v>28</v>
      </c>
      <c r="I623">
        <v>0</v>
      </c>
    </row>
    <row r="624" spans="1:9" x14ac:dyDescent="0.2">
      <c r="A624">
        <v>6</v>
      </c>
      <c r="B624">
        <v>183</v>
      </c>
      <c r="C624">
        <v>94</v>
      </c>
      <c r="F624">
        <v>40.799999999999997</v>
      </c>
      <c r="G624">
        <v>1.4610000000000001</v>
      </c>
      <c r="H624">
        <v>45</v>
      </c>
      <c r="I624">
        <v>0</v>
      </c>
    </row>
    <row r="625" spans="1:9" x14ac:dyDescent="0.2">
      <c r="A625">
        <v>0</v>
      </c>
      <c r="B625">
        <v>94</v>
      </c>
      <c r="C625">
        <v>70</v>
      </c>
      <c r="D625">
        <v>27</v>
      </c>
      <c r="E625">
        <v>115</v>
      </c>
      <c r="F625">
        <v>43.5</v>
      </c>
      <c r="G625">
        <v>0.34699999999999998</v>
      </c>
      <c r="H625">
        <v>21</v>
      </c>
      <c r="I625">
        <v>0</v>
      </c>
    </row>
    <row r="626" spans="1:9" x14ac:dyDescent="0.2">
      <c r="A626">
        <v>2</v>
      </c>
      <c r="B626">
        <v>108</v>
      </c>
      <c r="C626">
        <v>64</v>
      </c>
      <c r="F626">
        <v>30.8</v>
      </c>
      <c r="G626">
        <v>0.158</v>
      </c>
      <c r="H626">
        <v>21</v>
      </c>
      <c r="I626">
        <v>0</v>
      </c>
    </row>
    <row r="627" spans="1:9" x14ac:dyDescent="0.2">
      <c r="A627">
        <v>4</v>
      </c>
      <c r="B627">
        <v>90</v>
      </c>
      <c r="C627">
        <v>88</v>
      </c>
      <c r="D627">
        <v>47</v>
      </c>
      <c r="E627">
        <v>54</v>
      </c>
      <c r="F627">
        <v>37.700000000000003</v>
      </c>
      <c r="G627">
        <v>0.36199999999999999</v>
      </c>
      <c r="H627">
        <v>29</v>
      </c>
      <c r="I627">
        <v>0</v>
      </c>
    </row>
    <row r="628" spans="1:9" x14ac:dyDescent="0.2">
      <c r="A628">
        <v>0</v>
      </c>
      <c r="B628">
        <v>125</v>
      </c>
      <c r="C628">
        <v>68</v>
      </c>
      <c r="F628">
        <v>24.7</v>
      </c>
      <c r="G628">
        <v>0.20599999999999999</v>
      </c>
      <c r="H628">
        <v>21</v>
      </c>
      <c r="I628">
        <v>0</v>
      </c>
    </row>
    <row r="629" spans="1:9" x14ac:dyDescent="0.2">
      <c r="A629">
        <v>0</v>
      </c>
      <c r="B629">
        <v>132</v>
      </c>
      <c r="C629">
        <v>78</v>
      </c>
      <c r="F629">
        <v>32.4</v>
      </c>
      <c r="G629">
        <v>0.39300000000000002</v>
      </c>
      <c r="H629">
        <v>21</v>
      </c>
      <c r="I629">
        <v>0</v>
      </c>
    </row>
    <row r="630" spans="1:9" x14ac:dyDescent="0.2">
      <c r="A630">
        <v>5</v>
      </c>
      <c r="B630">
        <v>128</v>
      </c>
      <c r="C630">
        <v>80</v>
      </c>
      <c r="F630">
        <v>34.6</v>
      </c>
      <c r="G630">
        <v>0.14399999999999999</v>
      </c>
      <c r="H630">
        <v>45</v>
      </c>
      <c r="I630">
        <v>0</v>
      </c>
    </row>
    <row r="631" spans="1:9" x14ac:dyDescent="0.2">
      <c r="A631">
        <v>4</v>
      </c>
      <c r="B631">
        <v>94</v>
      </c>
      <c r="C631">
        <v>65</v>
      </c>
      <c r="D631">
        <v>22</v>
      </c>
      <c r="F631">
        <v>24.7</v>
      </c>
      <c r="G631">
        <v>0.14799999999999999</v>
      </c>
      <c r="H631">
        <v>21</v>
      </c>
      <c r="I631">
        <v>0</v>
      </c>
    </row>
    <row r="632" spans="1:9" x14ac:dyDescent="0.2">
      <c r="A632">
        <v>7</v>
      </c>
      <c r="B632">
        <v>114</v>
      </c>
      <c r="C632">
        <v>64</v>
      </c>
      <c r="F632">
        <v>27.4</v>
      </c>
      <c r="G632">
        <v>0.73199999999999998</v>
      </c>
      <c r="H632">
        <v>34</v>
      </c>
      <c r="I632">
        <v>1</v>
      </c>
    </row>
    <row r="633" spans="1:9" x14ac:dyDescent="0.2">
      <c r="A633">
        <v>0</v>
      </c>
      <c r="B633">
        <v>102</v>
      </c>
      <c r="C633">
        <v>78</v>
      </c>
      <c r="D633">
        <v>40</v>
      </c>
      <c r="E633">
        <v>90</v>
      </c>
      <c r="F633">
        <v>34.5</v>
      </c>
      <c r="G633">
        <v>0.23799999999999999</v>
      </c>
      <c r="H633">
        <v>24</v>
      </c>
      <c r="I633">
        <v>0</v>
      </c>
    </row>
    <row r="634" spans="1:9" x14ac:dyDescent="0.2">
      <c r="A634">
        <v>2</v>
      </c>
      <c r="B634">
        <v>111</v>
      </c>
      <c r="C634">
        <v>60</v>
      </c>
      <c r="F634">
        <v>26.2</v>
      </c>
      <c r="G634">
        <v>0.34300000000000003</v>
      </c>
      <c r="H634">
        <v>23</v>
      </c>
      <c r="I634">
        <v>0</v>
      </c>
    </row>
    <row r="635" spans="1:9" x14ac:dyDescent="0.2">
      <c r="A635">
        <v>1</v>
      </c>
      <c r="B635">
        <v>128</v>
      </c>
      <c r="C635">
        <v>82</v>
      </c>
      <c r="D635">
        <v>17</v>
      </c>
      <c r="E635">
        <v>183</v>
      </c>
      <c r="F635">
        <v>27.5</v>
      </c>
      <c r="G635">
        <v>0.115</v>
      </c>
      <c r="H635">
        <v>22</v>
      </c>
      <c r="I635">
        <v>0</v>
      </c>
    </row>
    <row r="636" spans="1:9" x14ac:dyDescent="0.2">
      <c r="A636">
        <v>10</v>
      </c>
      <c r="B636">
        <v>92</v>
      </c>
      <c r="C636">
        <v>62</v>
      </c>
      <c r="F636">
        <v>25.9</v>
      </c>
      <c r="G636">
        <v>0.16700000000000001</v>
      </c>
      <c r="H636">
        <v>31</v>
      </c>
      <c r="I636">
        <v>0</v>
      </c>
    </row>
    <row r="637" spans="1:9" x14ac:dyDescent="0.2">
      <c r="A637">
        <v>13</v>
      </c>
      <c r="B637">
        <v>104</v>
      </c>
      <c r="C637">
        <v>72</v>
      </c>
      <c r="F637">
        <v>31.2</v>
      </c>
      <c r="G637">
        <v>0.46500000000000002</v>
      </c>
      <c r="H637">
        <v>38</v>
      </c>
      <c r="I637">
        <v>1</v>
      </c>
    </row>
    <row r="638" spans="1:9" x14ac:dyDescent="0.2">
      <c r="A638">
        <v>5</v>
      </c>
      <c r="B638">
        <v>104</v>
      </c>
      <c r="C638">
        <v>74</v>
      </c>
      <c r="F638">
        <v>28.8</v>
      </c>
      <c r="G638">
        <v>0.153</v>
      </c>
      <c r="H638">
        <v>48</v>
      </c>
      <c r="I638">
        <v>0</v>
      </c>
    </row>
    <row r="639" spans="1:9" x14ac:dyDescent="0.2">
      <c r="A639">
        <v>2</v>
      </c>
      <c r="B639">
        <v>94</v>
      </c>
      <c r="C639">
        <v>76</v>
      </c>
      <c r="D639">
        <v>18</v>
      </c>
      <c r="E639">
        <v>66</v>
      </c>
      <c r="F639">
        <v>31.6</v>
      </c>
      <c r="G639">
        <v>0.64900000000000002</v>
      </c>
      <c r="H639">
        <v>23</v>
      </c>
      <c r="I639">
        <v>0</v>
      </c>
    </row>
    <row r="640" spans="1:9" x14ac:dyDescent="0.2">
      <c r="A640">
        <v>7</v>
      </c>
      <c r="B640">
        <v>97</v>
      </c>
      <c r="C640">
        <v>76</v>
      </c>
      <c r="D640">
        <v>32</v>
      </c>
      <c r="E640">
        <v>91</v>
      </c>
      <c r="F640">
        <v>40.9</v>
      </c>
      <c r="G640">
        <v>0.871</v>
      </c>
      <c r="H640">
        <v>32</v>
      </c>
      <c r="I640">
        <v>1</v>
      </c>
    </row>
    <row r="641" spans="1:9" x14ac:dyDescent="0.2">
      <c r="A641">
        <v>1</v>
      </c>
      <c r="B641">
        <v>100</v>
      </c>
      <c r="C641">
        <v>74</v>
      </c>
      <c r="D641">
        <v>12</v>
      </c>
      <c r="E641">
        <v>46</v>
      </c>
      <c r="F641">
        <v>19.5</v>
      </c>
      <c r="G641">
        <v>0.14899999999999999</v>
      </c>
      <c r="H641">
        <v>28</v>
      </c>
      <c r="I641">
        <v>0</v>
      </c>
    </row>
    <row r="642" spans="1:9" x14ac:dyDescent="0.2">
      <c r="A642">
        <v>0</v>
      </c>
      <c r="B642">
        <v>102</v>
      </c>
      <c r="C642">
        <v>86</v>
      </c>
      <c r="D642">
        <v>17</v>
      </c>
      <c r="E642">
        <v>105</v>
      </c>
      <c r="F642">
        <v>29.3</v>
      </c>
      <c r="G642">
        <v>0.69499999999999995</v>
      </c>
      <c r="H642">
        <v>27</v>
      </c>
      <c r="I642">
        <v>0</v>
      </c>
    </row>
    <row r="643" spans="1:9" x14ac:dyDescent="0.2">
      <c r="A643">
        <v>4</v>
      </c>
      <c r="B643">
        <v>128</v>
      </c>
      <c r="C643">
        <v>70</v>
      </c>
      <c r="F643">
        <v>34.299999999999997</v>
      </c>
      <c r="G643">
        <v>0.30299999999999999</v>
      </c>
      <c r="H643">
        <v>24</v>
      </c>
      <c r="I643">
        <v>0</v>
      </c>
    </row>
    <row r="644" spans="1:9" x14ac:dyDescent="0.2">
      <c r="A644">
        <v>6</v>
      </c>
      <c r="B644">
        <v>147</v>
      </c>
      <c r="C644">
        <v>80</v>
      </c>
      <c r="F644">
        <v>29.5</v>
      </c>
      <c r="G644">
        <v>0.17799999999999999</v>
      </c>
      <c r="H644">
        <v>50</v>
      </c>
      <c r="I644">
        <v>1</v>
      </c>
    </row>
    <row r="645" spans="1:9" x14ac:dyDescent="0.2">
      <c r="A645">
        <v>4</v>
      </c>
      <c r="B645">
        <v>90</v>
      </c>
      <c r="F645">
        <v>28</v>
      </c>
      <c r="G645">
        <v>0.61</v>
      </c>
      <c r="H645">
        <v>31</v>
      </c>
      <c r="I645">
        <v>0</v>
      </c>
    </row>
    <row r="646" spans="1:9" x14ac:dyDescent="0.2">
      <c r="A646">
        <v>3</v>
      </c>
      <c r="B646">
        <v>103</v>
      </c>
      <c r="C646">
        <v>72</v>
      </c>
      <c r="D646">
        <v>30</v>
      </c>
      <c r="E646">
        <v>152</v>
      </c>
      <c r="F646">
        <v>27.6</v>
      </c>
      <c r="G646">
        <v>0.73</v>
      </c>
      <c r="H646">
        <v>27</v>
      </c>
      <c r="I646">
        <v>0</v>
      </c>
    </row>
    <row r="647" spans="1:9" x14ac:dyDescent="0.2">
      <c r="A647">
        <v>2</v>
      </c>
      <c r="B647">
        <v>157</v>
      </c>
      <c r="C647">
        <v>74</v>
      </c>
      <c r="D647">
        <v>35</v>
      </c>
      <c r="E647">
        <v>440</v>
      </c>
      <c r="F647">
        <v>39.4</v>
      </c>
      <c r="G647">
        <v>0.13400000000000001</v>
      </c>
      <c r="H647">
        <v>30</v>
      </c>
      <c r="I647">
        <v>0</v>
      </c>
    </row>
    <row r="648" spans="1:9" x14ac:dyDescent="0.2">
      <c r="A648">
        <v>1</v>
      </c>
      <c r="B648">
        <v>167</v>
      </c>
      <c r="C648">
        <v>74</v>
      </c>
      <c r="D648">
        <v>17</v>
      </c>
      <c r="E648">
        <v>144</v>
      </c>
      <c r="F648">
        <v>23.4</v>
      </c>
      <c r="G648">
        <v>0.44700000000000001</v>
      </c>
      <c r="H648">
        <v>33</v>
      </c>
      <c r="I648">
        <v>1</v>
      </c>
    </row>
    <row r="649" spans="1:9" x14ac:dyDescent="0.2">
      <c r="A649">
        <v>0</v>
      </c>
      <c r="B649">
        <v>179</v>
      </c>
      <c r="C649">
        <v>50</v>
      </c>
      <c r="D649">
        <v>36</v>
      </c>
      <c r="E649">
        <v>159</v>
      </c>
      <c r="F649">
        <v>37.799999999999997</v>
      </c>
      <c r="G649">
        <v>0.45500000000000002</v>
      </c>
      <c r="H649">
        <v>22</v>
      </c>
      <c r="I649">
        <v>1</v>
      </c>
    </row>
    <row r="650" spans="1:9" x14ac:dyDescent="0.2">
      <c r="A650">
        <v>11</v>
      </c>
      <c r="B650">
        <v>136</v>
      </c>
      <c r="C650">
        <v>84</v>
      </c>
      <c r="D650">
        <v>35</v>
      </c>
      <c r="E650">
        <v>130</v>
      </c>
      <c r="F650">
        <v>28.3</v>
      </c>
      <c r="G650">
        <v>0.26</v>
      </c>
      <c r="H650">
        <v>42</v>
      </c>
      <c r="I650">
        <v>1</v>
      </c>
    </row>
    <row r="651" spans="1:9" x14ac:dyDescent="0.2">
      <c r="A651">
        <v>0</v>
      </c>
      <c r="B651">
        <v>107</v>
      </c>
      <c r="C651">
        <v>60</v>
      </c>
      <c r="D651">
        <v>25</v>
      </c>
      <c r="F651">
        <v>26.4</v>
      </c>
      <c r="G651">
        <v>0.13300000000000001</v>
      </c>
      <c r="H651">
        <v>23</v>
      </c>
      <c r="I651">
        <v>0</v>
      </c>
    </row>
    <row r="652" spans="1:9" x14ac:dyDescent="0.2">
      <c r="A652">
        <v>1</v>
      </c>
      <c r="B652">
        <v>91</v>
      </c>
      <c r="C652">
        <v>54</v>
      </c>
      <c r="D652">
        <v>25</v>
      </c>
      <c r="E652">
        <v>100</v>
      </c>
      <c r="F652">
        <v>25.2</v>
      </c>
      <c r="G652">
        <v>0.23400000000000001</v>
      </c>
      <c r="H652">
        <v>23</v>
      </c>
      <c r="I652">
        <v>0</v>
      </c>
    </row>
    <row r="653" spans="1:9" x14ac:dyDescent="0.2">
      <c r="A653">
        <v>1</v>
      </c>
      <c r="B653">
        <v>117</v>
      </c>
      <c r="C653">
        <v>60</v>
      </c>
      <c r="D653">
        <v>23</v>
      </c>
      <c r="E653">
        <v>106</v>
      </c>
      <c r="F653">
        <v>33.799999999999997</v>
      </c>
      <c r="G653">
        <v>0.46600000000000003</v>
      </c>
      <c r="H653">
        <v>27</v>
      </c>
      <c r="I653">
        <v>0</v>
      </c>
    </row>
    <row r="654" spans="1:9" x14ac:dyDescent="0.2">
      <c r="A654">
        <v>5</v>
      </c>
      <c r="B654">
        <v>123</v>
      </c>
      <c r="C654">
        <v>74</v>
      </c>
      <c r="D654">
        <v>40</v>
      </c>
      <c r="E654">
        <v>77</v>
      </c>
      <c r="F654">
        <v>34.1</v>
      </c>
      <c r="G654">
        <v>0.26900000000000002</v>
      </c>
      <c r="H654">
        <v>28</v>
      </c>
      <c r="I654">
        <v>0</v>
      </c>
    </row>
    <row r="655" spans="1:9" x14ac:dyDescent="0.2">
      <c r="A655">
        <v>2</v>
      </c>
      <c r="B655">
        <v>120</v>
      </c>
      <c r="C655">
        <v>54</v>
      </c>
      <c r="F655">
        <v>26.8</v>
      </c>
      <c r="G655">
        <v>0.45500000000000002</v>
      </c>
      <c r="H655">
        <v>27</v>
      </c>
      <c r="I655">
        <v>0</v>
      </c>
    </row>
    <row r="656" spans="1:9" x14ac:dyDescent="0.2">
      <c r="A656">
        <v>1</v>
      </c>
      <c r="B656">
        <v>106</v>
      </c>
      <c r="C656">
        <v>70</v>
      </c>
      <c r="D656">
        <v>28</v>
      </c>
      <c r="E656">
        <v>135</v>
      </c>
      <c r="F656">
        <v>34.200000000000003</v>
      </c>
      <c r="G656">
        <v>0.14199999999999999</v>
      </c>
      <c r="H656">
        <v>22</v>
      </c>
      <c r="I656">
        <v>0</v>
      </c>
    </row>
    <row r="657" spans="1:9" x14ac:dyDescent="0.2">
      <c r="A657">
        <v>2</v>
      </c>
      <c r="B657">
        <v>155</v>
      </c>
      <c r="C657">
        <v>52</v>
      </c>
      <c r="D657">
        <v>27</v>
      </c>
      <c r="E657">
        <v>540</v>
      </c>
      <c r="F657">
        <v>38.700000000000003</v>
      </c>
      <c r="G657">
        <v>0.24</v>
      </c>
      <c r="H657">
        <v>25</v>
      </c>
      <c r="I657">
        <v>1</v>
      </c>
    </row>
    <row r="658" spans="1:9" x14ac:dyDescent="0.2">
      <c r="A658">
        <v>2</v>
      </c>
      <c r="B658">
        <v>101</v>
      </c>
      <c r="C658">
        <v>58</v>
      </c>
      <c r="D658">
        <v>35</v>
      </c>
      <c r="E658">
        <v>90</v>
      </c>
      <c r="F658">
        <v>21.8</v>
      </c>
      <c r="G658">
        <v>0.155</v>
      </c>
      <c r="H658">
        <v>22</v>
      </c>
      <c r="I658">
        <v>0</v>
      </c>
    </row>
    <row r="659" spans="1:9" x14ac:dyDescent="0.2">
      <c r="A659">
        <v>1</v>
      </c>
      <c r="B659">
        <v>120</v>
      </c>
      <c r="C659">
        <v>80</v>
      </c>
      <c r="D659">
        <v>48</v>
      </c>
      <c r="E659">
        <v>200</v>
      </c>
      <c r="F659">
        <v>38.9</v>
      </c>
      <c r="G659">
        <v>1.1619999999999999</v>
      </c>
      <c r="H659">
        <v>41</v>
      </c>
      <c r="I659">
        <v>0</v>
      </c>
    </row>
    <row r="660" spans="1:9" x14ac:dyDescent="0.2">
      <c r="A660">
        <v>11</v>
      </c>
      <c r="B660">
        <v>127</v>
      </c>
      <c r="C660">
        <v>106</v>
      </c>
      <c r="F660">
        <v>39</v>
      </c>
      <c r="G660">
        <v>0.19</v>
      </c>
      <c r="H660">
        <v>51</v>
      </c>
      <c r="I660">
        <v>0</v>
      </c>
    </row>
    <row r="661" spans="1:9" x14ac:dyDescent="0.2">
      <c r="A661">
        <v>3</v>
      </c>
      <c r="B661">
        <v>80</v>
      </c>
      <c r="C661">
        <v>82</v>
      </c>
      <c r="D661">
        <v>31</v>
      </c>
      <c r="E661">
        <v>70</v>
      </c>
      <c r="F661">
        <v>34.200000000000003</v>
      </c>
      <c r="G661">
        <v>1.292</v>
      </c>
      <c r="H661">
        <v>27</v>
      </c>
      <c r="I661">
        <v>1</v>
      </c>
    </row>
    <row r="662" spans="1:9" x14ac:dyDescent="0.2">
      <c r="A662">
        <v>10</v>
      </c>
      <c r="B662">
        <v>162</v>
      </c>
      <c r="C662">
        <v>84</v>
      </c>
      <c r="F662">
        <v>27.7</v>
      </c>
      <c r="G662">
        <v>0.182</v>
      </c>
      <c r="H662">
        <v>54</v>
      </c>
      <c r="I662">
        <v>0</v>
      </c>
    </row>
    <row r="663" spans="1:9" x14ac:dyDescent="0.2">
      <c r="A663">
        <v>1</v>
      </c>
      <c r="B663">
        <v>199</v>
      </c>
      <c r="C663">
        <v>76</v>
      </c>
      <c r="D663">
        <v>43</v>
      </c>
      <c r="F663">
        <v>42.9</v>
      </c>
      <c r="G663">
        <v>1.3939999999999999</v>
      </c>
      <c r="H663">
        <v>22</v>
      </c>
      <c r="I663">
        <v>1</v>
      </c>
    </row>
    <row r="664" spans="1:9" x14ac:dyDescent="0.2">
      <c r="A664">
        <v>8</v>
      </c>
      <c r="B664">
        <v>167</v>
      </c>
      <c r="C664">
        <v>106</v>
      </c>
      <c r="D664">
        <v>46</v>
      </c>
      <c r="E664">
        <v>231</v>
      </c>
      <c r="F664">
        <v>37.6</v>
      </c>
      <c r="G664">
        <v>0.16500000000000001</v>
      </c>
      <c r="H664">
        <v>43</v>
      </c>
      <c r="I664">
        <v>1</v>
      </c>
    </row>
    <row r="665" spans="1:9" x14ac:dyDescent="0.2">
      <c r="A665">
        <v>9</v>
      </c>
      <c r="B665">
        <v>145</v>
      </c>
      <c r="C665">
        <v>80</v>
      </c>
      <c r="D665">
        <v>46</v>
      </c>
      <c r="E665">
        <v>130</v>
      </c>
      <c r="F665">
        <v>37.9</v>
      </c>
      <c r="G665">
        <v>0.63700000000000001</v>
      </c>
      <c r="H665">
        <v>40</v>
      </c>
      <c r="I665">
        <v>1</v>
      </c>
    </row>
    <row r="666" spans="1:9" x14ac:dyDescent="0.2">
      <c r="A666">
        <v>6</v>
      </c>
      <c r="B666">
        <v>115</v>
      </c>
      <c r="C666">
        <v>60</v>
      </c>
      <c r="D666">
        <v>39</v>
      </c>
      <c r="F666">
        <v>33.700000000000003</v>
      </c>
      <c r="G666">
        <v>0.245</v>
      </c>
      <c r="H666">
        <v>40</v>
      </c>
      <c r="I666">
        <v>1</v>
      </c>
    </row>
    <row r="667" spans="1:9" x14ac:dyDescent="0.2">
      <c r="A667">
        <v>1</v>
      </c>
      <c r="B667">
        <v>112</v>
      </c>
      <c r="C667">
        <v>80</v>
      </c>
      <c r="D667">
        <v>45</v>
      </c>
      <c r="E667">
        <v>132</v>
      </c>
      <c r="F667">
        <v>34.799999999999997</v>
      </c>
      <c r="G667">
        <v>0.217</v>
      </c>
      <c r="H667">
        <v>24</v>
      </c>
      <c r="I667">
        <v>0</v>
      </c>
    </row>
    <row r="668" spans="1:9" x14ac:dyDescent="0.2">
      <c r="A668">
        <v>4</v>
      </c>
      <c r="B668">
        <v>145</v>
      </c>
      <c r="C668">
        <v>82</v>
      </c>
      <c r="D668">
        <v>18</v>
      </c>
      <c r="F668">
        <v>32.5</v>
      </c>
      <c r="G668">
        <v>0.23499999999999999</v>
      </c>
      <c r="H668">
        <v>70</v>
      </c>
      <c r="I668">
        <v>1</v>
      </c>
    </row>
    <row r="669" spans="1:9" x14ac:dyDescent="0.2">
      <c r="A669">
        <v>10</v>
      </c>
      <c r="B669">
        <v>111</v>
      </c>
      <c r="C669">
        <v>70</v>
      </c>
      <c r="D669">
        <v>27</v>
      </c>
      <c r="F669">
        <v>27.5</v>
      </c>
      <c r="G669">
        <v>0.14099999999999999</v>
      </c>
      <c r="H669">
        <v>40</v>
      </c>
      <c r="I669">
        <v>1</v>
      </c>
    </row>
    <row r="670" spans="1:9" x14ac:dyDescent="0.2">
      <c r="A670">
        <v>6</v>
      </c>
      <c r="B670">
        <v>98</v>
      </c>
      <c r="C670">
        <v>58</v>
      </c>
      <c r="D670">
        <v>33</v>
      </c>
      <c r="E670">
        <v>190</v>
      </c>
      <c r="F670">
        <v>34</v>
      </c>
      <c r="G670">
        <v>0.43</v>
      </c>
      <c r="H670">
        <v>43</v>
      </c>
      <c r="I670">
        <v>0</v>
      </c>
    </row>
    <row r="671" spans="1:9" x14ac:dyDescent="0.2">
      <c r="A671">
        <v>9</v>
      </c>
      <c r="B671">
        <v>154</v>
      </c>
      <c r="C671">
        <v>78</v>
      </c>
      <c r="D671">
        <v>30</v>
      </c>
      <c r="E671">
        <v>100</v>
      </c>
      <c r="F671">
        <v>30.9</v>
      </c>
      <c r="G671">
        <v>0.16400000000000001</v>
      </c>
      <c r="H671">
        <v>45</v>
      </c>
      <c r="I671">
        <v>0</v>
      </c>
    </row>
    <row r="672" spans="1:9" x14ac:dyDescent="0.2">
      <c r="A672">
        <v>6</v>
      </c>
      <c r="B672">
        <v>165</v>
      </c>
      <c r="C672">
        <v>68</v>
      </c>
      <c r="D672">
        <v>26</v>
      </c>
      <c r="E672">
        <v>168</v>
      </c>
      <c r="F672">
        <v>33.6</v>
      </c>
      <c r="G672">
        <v>0.63100000000000001</v>
      </c>
      <c r="H672">
        <v>49</v>
      </c>
      <c r="I672">
        <v>0</v>
      </c>
    </row>
    <row r="673" spans="1:9" x14ac:dyDescent="0.2">
      <c r="A673">
        <v>1</v>
      </c>
      <c r="B673">
        <v>99</v>
      </c>
      <c r="C673">
        <v>58</v>
      </c>
      <c r="D673">
        <v>10</v>
      </c>
      <c r="F673">
        <v>25.4</v>
      </c>
      <c r="G673">
        <v>0.55100000000000005</v>
      </c>
      <c r="H673">
        <v>21</v>
      </c>
      <c r="I673">
        <v>0</v>
      </c>
    </row>
    <row r="674" spans="1:9" x14ac:dyDescent="0.2">
      <c r="A674">
        <v>10</v>
      </c>
      <c r="B674">
        <v>68</v>
      </c>
      <c r="C674">
        <v>106</v>
      </c>
      <c r="D674">
        <v>23</v>
      </c>
      <c r="E674">
        <v>49</v>
      </c>
      <c r="F674">
        <v>35.5</v>
      </c>
      <c r="G674">
        <v>0.28499999999999998</v>
      </c>
      <c r="H674">
        <v>47</v>
      </c>
      <c r="I674">
        <v>0</v>
      </c>
    </row>
    <row r="675" spans="1:9" x14ac:dyDescent="0.2">
      <c r="A675">
        <v>3</v>
      </c>
      <c r="B675">
        <v>123</v>
      </c>
      <c r="C675">
        <v>100</v>
      </c>
      <c r="D675">
        <v>35</v>
      </c>
      <c r="E675">
        <v>240</v>
      </c>
      <c r="F675">
        <v>57.3</v>
      </c>
      <c r="G675">
        <v>0.88</v>
      </c>
      <c r="H675">
        <v>22</v>
      </c>
      <c r="I675">
        <v>0</v>
      </c>
    </row>
    <row r="676" spans="1:9" x14ac:dyDescent="0.2">
      <c r="A676">
        <v>8</v>
      </c>
      <c r="B676">
        <v>91</v>
      </c>
      <c r="C676">
        <v>82</v>
      </c>
      <c r="F676">
        <v>35.6</v>
      </c>
      <c r="G676">
        <v>0.58699999999999997</v>
      </c>
      <c r="H676">
        <v>68</v>
      </c>
      <c r="I676">
        <v>0</v>
      </c>
    </row>
    <row r="677" spans="1:9" x14ac:dyDescent="0.2">
      <c r="A677">
        <v>6</v>
      </c>
      <c r="B677">
        <v>195</v>
      </c>
      <c r="C677">
        <v>70</v>
      </c>
      <c r="F677">
        <v>30.9</v>
      </c>
      <c r="G677">
        <v>0.32800000000000001</v>
      </c>
      <c r="H677">
        <v>31</v>
      </c>
      <c r="I677">
        <v>1</v>
      </c>
    </row>
    <row r="678" spans="1:9" x14ac:dyDescent="0.2">
      <c r="A678">
        <v>9</v>
      </c>
      <c r="B678">
        <v>156</v>
      </c>
      <c r="C678">
        <v>86</v>
      </c>
      <c r="F678">
        <v>24.8</v>
      </c>
      <c r="G678">
        <v>0.23</v>
      </c>
      <c r="H678">
        <v>53</v>
      </c>
      <c r="I678">
        <v>1</v>
      </c>
    </row>
    <row r="679" spans="1:9" x14ac:dyDescent="0.2">
      <c r="A679">
        <v>0</v>
      </c>
      <c r="B679">
        <v>93</v>
      </c>
      <c r="C679">
        <v>60</v>
      </c>
      <c r="F679">
        <v>35.299999999999997</v>
      </c>
      <c r="G679">
        <v>0.26300000000000001</v>
      </c>
      <c r="H679">
        <v>25</v>
      </c>
      <c r="I679">
        <v>0</v>
      </c>
    </row>
    <row r="680" spans="1:9" x14ac:dyDescent="0.2">
      <c r="A680">
        <v>3</v>
      </c>
      <c r="B680">
        <v>121</v>
      </c>
      <c r="C680">
        <v>52</v>
      </c>
      <c r="F680">
        <v>36</v>
      </c>
      <c r="G680">
        <v>0.127</v>
      </c>
      <c r="H680">
        <v>25</v>
      </c>
      <c r="I680">
        <v>1</v>
      </c>
    </row>
    <row r="681" spans="1:9" x14ac:dyDescent="0.2">
      <c r="A681">
        <v>2</v>
      </c>
      <c r="B681">
        <v>101</v>
      </c>
      <c r="C681">
        <v>58</v>
      </c>
      <c r="D681">
        <v>17</v>
      </c>
      <c r="E681">
        <v>265</v>
      </c>
      <c r="F681">
        <v>24.2</v>
      </c>
      <c r="G681">
        <v>0.61399999999999999</v>
      </c>
      <c r="H681">
        <v>23</v>
      </c>
      <c r="I681">
        <v>0</v>
      </c>
    </row>
    <row r="682" spans="1:9" x14ac:dyDescent="0.2">
      <c r="A682">
        <v>2</v>
      </c>
      <c r="B682">
        <v>56</v>
      </c>
      <c r="C682">
        <v>56</v>
      </c>
      <c r="D682">
        <v>28</v>
      </c>
      <c r="E682">
        <v>45</v>
      </c>
      <c r="F682">
        <v>24.2</v>
      </c>
      <c r="G682">
        <v>0.33200000000000002</v>
      </c>
      <c r="H682">
        <v>22</v>
      </c>
      <c r="I682">
        <v>0</v>
      </c>
    </row>
    <row r="683" spans="1:9" x14ac:dyDescent="0.2">
      <c r="A683">
        <v>0</v>
      </c>
      <c r="B683">
        <v>162</v>
      </c>
      <c r="C683">
        <v>76</v>
      </c>
      <c r="D683">
        <v>36</v>
      </c>
      <c r="F683">
        <v>49.6</v>
      </c>
      <c r="G683">
        <v>0.36399999999999999</v>
      </c>
      <c r="H683">
        <v>26</v>
      </c>
      <c r="I683">
        <v>1</v>
      </c>
    </row>
    <row r="684" spans="1:9" x14ac:dyDescent="0.2">
      <c r="A684">
        <v>0</v>
      </c>
      <c r="B684">
        <v>95</v>
      </c>
      <c r="C684">
        <v>64</v>
      </c>
      <c r="D684">
        <v>39</v>
      </c>
      <c r="E684">
        <v>105</v>
      </c>
      <c r="F684">
        <v>44.6</v>
      </c>
      <c r="G684">
        <v>0.36599999999999999</v>
      </c>
      <c r="H684">
        <v>22</v>
      </c>
      <c r="I684">
        <v>0</v>
      </c>
    </row>
    <row r="685" spans="1:9" x14ac:dyDescent="0.2">
      <c r="A685">
        <v>4</v>
      </c>
      <c r="B685">
        <v>125</v>
      </c>
      <c r="C685">
        <v>80</v>
      </c>
      <c r="F685">
        <v>32.299999999999997</v>
      </c>
      <c r="G685">
        <v>0.53600000000000003</v>
      </c>
      <c r="H685">
        <v>27</v>
      </c>
      <c r="I685">
        <v>1</v>
      </c>
    </row>
    <row r="686" spans="1:9" hidden="1" x14ac:dyDescent="0.2">
      <c r="A686">
        <v>5</v>
      </c>
      <c r="B686">
        <v>136</v>
      </c>
      <c r="C686">
        <v>82</v>
      </c>
      <c r="G686">
        <v>0.64</v>
      </c>
      <c r="H686">
        <v>69</v>
      </c>
      <c r="I686">
        <v>0</v>
      </c>
    </row>
    <row r="687" spans="1:9" x14ac:dyDescent="0.2">
      <c r="A687">
        <v>2</v>
      </c>
      <c r="B687">
        <v>129</v>
      </c>
      <c r="C687">
        <v>74</v>
      </c>
      <c r="D687">
        <v>26</v>
      </c>
      <c r="E687">
        <v>205</v>
      </c>
      <c r="F687">
        <v>33.200000000000003</v>
      </c>
      <c r="G687">
        <v>0.59099999999999997</v>
      </c>
      <c r="H687">
        <v>25</v>
      </c>
      <c r="I687">
        <v>0</v>
      </c>
    </row>
    <row r="688" spans="1:9" x14ac:dyDescent="0.2">
      <c r="A688">
        <v>3</v>
      </c>
      <c r="B688">
        <v>130</v>
      </c>
      <c r="C688">
        <v>64</v>
      </c>
      <c r="F688">
        <v>23.1</v>
      </c>
      <c r="G688">
        <v>0.314</v>
      </c>
      <c r="H688">
        <v>22</v>
      </c>
      <c r="I688">
        <v>0</v>
      </c>
    </row>
    <row r="689" spans="1:9" x14ac:dyDescent="0.2">
      <c r="A689">
        <v>1</v>
      </c>
      <c r="B689">
        <v>107</v>
      </c>
      <c r="C689">
        <v>50</v>
      </c>
      <c r="D689">
        <v>19</v>
      </c>
      <c r="F689">
        <v>28.3</v>
      </c>
      <c r="G689">
        <v>0.18099999999999999</v>
      </c>
      <c r="H689">
        <v>29</v>
      </c>
      <c r="I689">
        <v>0</v>
      </c>
    </row>
    <row r="690" spans="1:9" x14ac:dyDescent="0.2">
      <c r="A690">
        <v>1</v>
      </c>
      <c r="B690">
        <v>140</v>
      </c>
      <c r="C690">
        <v>74</v>
      </c>
      <c r="D690">
        <v>26</v>
      </c>
      <c r="E690">
        <v>180</v>
      </c>
      <c r="F690">
        <v>24.1</v>
      </c>
      <c r="G690">
        <v>0.82799999999999996</v>
      </c>
      <c r="H690">
        <v>23</v>
      </c>
      <c r="I690">
        <v>0</v>
      </c>
    </row>
    <row r="691" spans="1:9" x14ac:dyDescent="0.2">
      <c r="A691">
        <v>1</v>
      </c>
      <c r="B691">
        <v>144</v>
      </c>
      <c r="C691">
        <v>82</v>
      </c>
      <c r="D691">
        <v>46</v>
      </c>
      <c r="E691">
        <v>180</v>
      </c>
      <c r="F691">
        <v>46.1</v>
      </c>
      <c r="G691">
        <v>0.33500000000000002</v>
      </c>
      <c r="H691">
        <v>46</v>
      </c>
      <c r="I691">
        <v>1</v>
      </c>
    </row>
    <row r="692" spans="1:9" x14ac:dyDescent="0.2">
      <c r="A692">
        <v>8</v>
      </c>
      <c r="B692">
        <v>107</v>
      </c>
      <c r="C692">
        <v>80</v>
      </c>
      <c r="F692">
        <v>24.6</v>
      </c>
      <c r="G692">
        <v>0.85599999999999998</v>
      </c>
      <c r="H692">
        <v>34</v>
      </c>
      <c r="I692">
        <v>0</v>
      </c>
    </row>
    <row r="693" spans="1:9" x14ac:dyDescent="0.2">
      <c r="A693">
        <v>13</v>
      </c>
      <c r="B693">
        <v>158</v>
      </c>
      <c r="C693">
        <v>114</v>
      </c>
      <c r="F693">
        <v>42.3</v>
      </c>
      <c r="G693">
        <v>0.25700000000000001</v>
      </c>
      <c r="H693">
        <v>44</v>
      </c>
      <c r="I693">
        <v>1</v>
      </c>
    </row>
    <row r="694" spans="1:9" x14ac:dyDescent="0.2">
      <c r="A694">
        <v>2</v>
      </c>
      <c r="B694">
        <v>121</v>
      </c>
      <c r="C694">
        <v>70</v>
      </c>
      <c r="D694">
        <v>32</v>
      </c>
      <c r="E694">
        <v>95</v>
      </c>
      <c r="F694">
        <v>39.1</v>
      </c>
      <c r="G694">
        <v>0.88600000000000001</v>
      </c>
      <c r="H694">
        <v>23</v>
      </c>
      <c r="I694">
        <v>0</v>
      </c>
    </row>
    <row r="695" spans="1:9" x14ac:dyDescent="0.2">
      <c r="A695">
        <v>7</v>
      </c>
      <c r="B695">
        <v>129</v>
      </c>
      <c r="C695">
        <v>68</v>
      </c>
      <c r="D695">
        <v>49</v>
      </c>
      <c r="E695">
        <v>125</v>
      </c>
      <c r="F695">
        <v>38.5</v>
      </c>
      <c r="G695">
        <v>0.439</v>
      </c>
      <c r="H695">
        <v>43</v>
      </c>
      <c r="I695">
        <v>1</v>
      </c>
    </row>
    <row r="696" spans="1:9" x14ac:dyDescent="0.2">
      <c r="A696">
        <v>2</v>
      </c>
      <c r="B696">
        <v>90</v>
      </c>
      <c r="C696">
        <v>60</v>
      </c>
      <c r="F696">
        <v>23.5</v>
      </c>
      <c r="G696">
        <v>0.191</v>
      </c>
      <c r="H696">
        <v>25</v>
      </c>
      <c r="I696">
        <v>0</v>
      </c>
    </row>
    <row r="697" spans="1:9" x14ac:dyDescent="0.2">
      <c r="A697">
        <v>7</v>
      </c>
      <c r="B697">
        <v>142</v>
      </c>
      <c r="C697">
        <v>90</v>
      </c>
      <c r="D697">
        <v>24</v>
      </c>
      <c r="E697">
        <v>480</v>
      </c>
      <c r="F697">
        <v>30.4</v>
      </c>
      <c r="G697">
        <v>0.128</v>
      </c>
      <c r="H697">
        <v>43</v>
      </c>
      <c r="I697">
        <v>1</v>
      </c>
    </row>
    <row r="698" spans="1:9" x14ac:dyDescent="0.2">
      <c r="A698">
        <v>3</v>
      </c>
      <c r="B698">
        <v>169</v>
      </c>
      <c r="C698">
        <v>74</v>
      </c>
      <c r="D698">
        <v>19</v>
      </c>
      <c r="E698">
        <v>125</v>
      </c>
      <c r="F698">
        <v>29.9</v>
      </c>
      <c r="G698">
        <v>0.26800000000000002</v>
      </c>
      <c r="H698">
        <v>31</v>
      </c>
      <c r="I698">
        <v>1</v>
      </c>
    </row>
    <row r="699" spans="1:9" x14ac:dyDescent="0.2">
      <c r="A699">
        <v>0</v>
      </c>
      <c r="B699">
        <v>99</v>
      </c>
      <c r="F699">
        <v>25</v>
      </c>
      <c r="G699">
        <v>0.253</v>
      </c>
      <c r="H699">
        <v>22</v>
      </c>
      <c r="I699">
        <v>0</v>
      </c>
    </row>
    <row r="700" spans="1:9" x14ac:dyDescent="0.2">
      <c r="A700">
        <v>4</v>
      </c>
      <c r="B700">
        <v>127</v>
      </c>
      <c r="C700">
        <v>88</v>
      </c>
      <c r="D700">
        <v>11</v>
      </c>
      <c r="E700">
        <v>155</v>
      </c>
      <c r="F700">
        <v>34.5</v>
      </c>
      <c r="G700">
        <v>0.59799999999999998</v>
      </c>
      <c r="H700">
        <v>28</v>
      </c>
      <c r="I700">
        <v>0</v>
      </c>
    </row>
    <row r="701" spans="1:9" x14ac:dyDescent="0.2">
      <c r="A701">
        <v>4</v>
      </c>
      <c r="B701">
        <v>118</v>
      </c>
      <c r="C701">
        <v>70</v>
      </c>
      <c r="F701">
        <v>44.5</v>
      </c>
      <c r="G701">
        <v>0.90400000000000003</v>
      </c>
      <c r="H701">
        <v>26</v>
      </c>
      <c r="I701">
        <v>0</v>
      </c>
    </row>
    <row r="702" spans="1:9" x14ac:dyDescent="0.2">
      <c r="A702">
        <v>2</v>
      </c>
      <c r="B702">
        <v>122</v>
      </c>
      <c r="C702">
        <v>76</v>
      </c>
      <c r="D702">
        <v>27</v>
      </c>
      <c r="E702">
        <v>200</v>
      </c>
      <c r="F702">
        <v>35.9</v>
      </c>
      <c r="G702">
        <v>0.48299999999999998</v>
      </c>
      <c r="H702">
        <v>26</v>
      </c>
      <c r="I702">
        <v>0</v>
      </c>
    </row>
    <row r="703" spans="1:9" x14ac:dyDescent="0.2">
      <c r="A703">
        <v>6</v>
      </c>
      <c r="B703">
        <v>125</v>
      </c>
      <c r="C703">
        <v>78</v>
      </c>
      <c r="D703">
        <v>31</v>
      </c>
      <c r="F703">
        <v>27.6</v>
      </c>
      <c r="G703">
        <v>0.56499999999999995</v>
      </c>
      <c r="H703">
        <v>49</v>
      </c>
      <c r="I703">
        <v>1</v>
      </c>
    </row>
    <row r="704" spans="1:9" x14ac:dyDescent="0.2">
      <c r="A704">
        <v>1</v>
      </c>
      <c r="B704">
        <v>168</v>
      </c>
      <c r="C704">
        <v>88</v>
      </c>
      <c r="D704">
        <v>29</v>
      </c>
      <c r="F704">
        <v>35</v>
      </c>
      <c r="G704">
        <v>0.90500000000000003</v>
      </c>
      <c r="H704">
        <v>52</v>
      </c>
      <c r="I704">
        <v>1</v>
      </c>
    </row>
    <row r="705" spans="1:9" x14ac:dyDescent="0.2">
      <c r="A705">
        <v>2</v>
      </c>
      <c r="B705">
        <v>129</v>
      </c>
      <c r="F705">
        <v>38.5</v>
      </c>
      <c r="G705">
        <v>0.30399999999999999</v>
      </c>
      <c r="H705">
        <v>41</v>
      </c>
      <c r="I705">
        <v>0</v>
      </c>
    </row>
    <row r="706" spans="1:9" x14ac:dyDescent="0.2">
      <c r="A706">
        <v>4</v>
      </c>
      <c r="B706">
        <v>110</v>
      </c>
      <c r="C706">
        <v>76</v>
      </c>
      <c r="D706">
        <v>20</v>
      </c>
      <c r="E706">
        <v>100</v>
      </c>
      <c r="F706">
        <v>28.4</v>
      </c>
      <c r="G706">
        <v>0.11799999999999999</v>
      </c>
      <c r="H706">
        <v>27</v>
      </c>
      <c r="I706">
        <v>0</v>
      </c>
    </row>
    <row r="707" spans="1:9" x14ac:dyDescent="0.2">
      <c r="A707">
        <v>6</v>
      </c>
      <c r="B707">
        <v>80</v>
      </c>
      <c r="C707">
        <v>80</v>
      </c>
      <c r="D707">
        <v>36</v>
      </c>
      <c r="F707">
        <v>39.799999999999997</v>
      </c>
      <c r="G707">
        <v>0.17699999999999999</v>
      </c>
      <c r="H707">
        <v>28</v>
      </c>
      <c r="I707">
        <v>0</v>
      </c>
    </row>
    <row r="708" spans="1:9" hidden="1" x14ac:dyDescent="0.2">
      <c r="A708">
        <v>10</v>
      </c>
      <c r="B708">
        <v>115</v>
      </c>
      <c r="G708">
        <v>0.26100000000000001</v>
      </c>
      <c r="H708">
        <v>30</v>
      </c>
      <c r="I708">
        <v>1</v>
      </c>
    </row>
    <row r="709" spans="1:9" x14ac:dyDescent="0.2">
      <c r="A709">
        <v>2</v>
      </c>
      <c r="B709">
        <v>127</v>
      </c>
      <c r="C709">
        <v>46</v>
      </c>
      <c r="D709">
        <v>21</v>
      </c>
      <c r="E709">
        <v>335</v>
      </c>
      <c r="F709">
        <v>34.4</v>
      </c>
      <c r="G709">
        <v>0.17599999999999999</v>
      </c>
      <c r="H709">
        <v>22</v>
      </c>
      <c r="I709">
        <v>0</v>
      </c>
    </row>
    <row r="710" spans="1:9" x14ac:dyDescent="0.2">
      <c r="A710">
        <v>9</v>
      </c>
      <c r="B710">
        <v>164</v>
      </c>
      <c r="C710">
        <v>78</v>
      </c>
      <c r="F710">
        <v>32.799999999999997</v>
      </c>
      <c r="G710">
        <v>0.14799999999999999</v>
      </c>
      <c r="H710">
        <v>45</v>
      </c>
      <c r="I710">
        <v>1</v>
      </c>
    </row>
    <row r="711" spans="1:9" x14ac:dyDescent="0.2">
      <c r="A711">
        <v>2</v>
      </c>
      <c r="B711">
        <v>93</v>
      </c>
      <c r="C711">
        <v>64</v>
      </c>
      <c r="D711">
        <v>32</v>
      </c>
      <c r="E711">
        <v>160</v>
      </c>
      <c r="F711">
        <v>38</v>
      </c>
      <c r="G711">
        <v>0.67400000000000004</v>
      </c>
      <c r="H711">
        <v>23</v>
      </c>
      <c r="I711">
        <v>1</v>
      </c>
    </row>
    <row r="712" spans="1:9" x14ac:dyDescent="0.2">
      <c r="A712">
        <v>3</v>
      </c>
      <c r="B712">
        <v>158</v>
      </c>
      <c r="C712">
        <v>64</v>
      </c>
      <c r="D712">
        <v>13</v>
      </c>
      <c r="E712">
        <v>387</v>
      </c>
      <c r="F712">
        <v>31.2</v>
      </c>
      <c r="G712">
        <v>0.29499999999999998</v>
      </c>
      <c r="H712">
        <v>24</v>
      </c>
      <c r="I712">
        <v>0</v>
      </c>
    </row>
    <row r="713" spans="1:9" x14ac:dyDescent="0.2">
      <c r="A713">
        <v>5</v>
      </c>
      <c r="B713">
        <v>126</v>
      </c>
      <c r="C713">
        <v>78</v>
      </c>
      <c r="D713">
        <v>27</v>
      </c>
      <c r="E713">
        <v>22</v>
      </c>
      <c r="F713">
        <v>29.6</v>
      </c>
      <c r="G713">
        <v>0.439</v>
      </c>
      <c r="H713">
        <v>40</v>
      </c>
      <c r="I713">
        <v>0</v>
      </c>
    </row>
    <row r="714" spans="1:9" x14ac:dyDescent="0.2">
      <c r="A714">
        <v>10</v>
      </c>
      <c r="B714">
        <v>129</v>
      </c>
      <c r="C714">
        <v>62</v>
      </c>
      <c r="D714">
        <v>36</v>
      </c>
      <c r="F714">
        <v>41.2</v>
      </c>
      <c r="G714">
        <v>0.441</v>
      </c>
      <c r="H714">
        <v>38</v>
      </c>
      <c r="I714">
        <v>1</v>
      </c>
    </row>
    <row r="715" spans="1:9" x14ac:dyDescent="0.2">
      <c r="A715">
        <v>0</v>
      </c>
      <c r="B715">
        <v>134</v>
      </c>
      <c r="C715">
        <v>58</v>
      </c>
      <c r="D715">
        <v>20</v>
      </c>
      <c r="E715">
        <v>291</v>
      </c>
      <c r="F715">
        <v>26.4</v>
      </c>
      <c r="G715">
        <v>0.35199999999999998</v>
      </c>
      <c r="H715">
        <v>21</v>
      </c>
      <c r="I715">
        <v>0</v>
      </c>
    </row>
    <row r="716" spans="1:9" x14ac:dyDescent="0.2">
      <c r="A716">
        <v>3</v>
      </c>
      <c r="B716">
        <v>102</v>
      </c>
      <c r="C716">
        <v>74</v>
      </c>
      <c r="F716">
        <v>29.5</v>
      </c>
      <c r="G716">
        <v>0.121</v>
      </c>
      <c r="H716">
        <v>32</v>
      </c>
      <c r="I716">
        <v>0</v>
      </c>
    </row>
    <row r="717" spans="1:9" x14ac:dyDescent="0.2">
      <c r="A717">
        <v>7</v>
      </c>
      <c r="B717">
        <v>187</v>
      </c>
      <c r="C717">
        <v>50</v>
      </c>
      <c r="D717">
        <v>33</v>
      </c>
      <c r="E717">
        <v>392</v>
      </c>
      <c r="F717">
        <v>33.9</v>
      </c>
      <c r="G717">
        <v>0.82599999999999996</v>
      </c>
      <c r="H717">
        <v>34</v>
      </c>
      <c r="I717">
        <v>1</v>
      </c>
    </row>
    <row r="718" spans="1:9" x14ac:dyDescent="0.2">
      <c r="A718">
        <v>3</v>
      </c>
      <c r="B718">
        <v>173</v>
      </c>
      <c r="C718">
        <v>78</v>
      </c>
      <c r="D718">
        <v>39</v>
      </c>
      <c r="E718">
        <v>185</v>
      </c>
      <c r="F718">
        <v>33.799999999999997</v>
      </c>
      <c r="G718">
        <v>0.97</v>
      </c>
      <c r="H718">
        <v>31</v>
      </c>
      <c r="I718">
        <v>1</v>
      </c>
    </row>
    <row r="719" spans="1:9" x14ac:dyDescent="0.2">
      <c r="A719">
        <v>10</v>
      </c>
      <c r="B719">
        <v>94</v>
      </c>
      <c r="C719">
        <v>72</v>
      </c>
      <c r="D719">
        <v>18</v>
      </c>
      <c r="F719">
        <v>23.1</v>
      </c>
      <c r="G719">
        <v>0.59499999999999997</v>
      </c>
      <c r="H719">
        <v>56</v>
      </c>
      <c r="I719">
        <v>0</v>
      </c>
    </row>
    <row r="720" spans="1:9" x14ac:dyDescent="0.2">
      <c r="A720">
        <v>1</v>
      </c>
      <c r="B720">
        <v>108</v>
      </c>
      <c r="C720">
        <v>60</v>
      </c>
      <c r="D720">
        <v>46</v>
      </c>
      <c r="E720">
        <v>178</v>
      </c>
      <c r="F720">
        <v>35.5</v>
      </c>
      <c r="G720">
        <v>0.41499999999999998</v>
      </c>
      <c r="H720">
        <v>24</v>
      </c>
      <c r="I720">
        <v>0</v>
      </c>
    </row>
    <row r="721" spans="1:9" x14ac:dyDescent="0.2">
      <c r="A721">
        <v>5</v>
      </c>
      <c r="B721">
        <v>97</v>
      </c>
      <c r="C721">
        <v>76</v>
      </c>
      <c r="D721">
        <v>27</v>
      </c>
      <c r="F721">
        <v>35.6</v>
      </c>
      <c r="G721">
        <v>0.378</v>
      </c>
      <c r="H721">
        <v>52</v>
      </c>
      <c r="I721">
        <v>1</v>
      </c>
    </row>
    <row r="722" spans="1:9" x14ac:dyDescent="0.2">
      <c r="A722">
        <v>4</v>
      </c>
      <c r="B722">
        <v>83</v>
      </c>
      <c r="C722">
        <v>86</v>
      </c>
      <c r="D722">
        <v>19</v>
      </c>
      <c r="F722">
        <v>29.3</v>
      </c>
      <c r="G722">
        <v>0.317</v>
      </c>
      <c r="H722">
        <v>34</v>
      </c>
      <c r="I722">
        <v>0</v>
      </c>
    </row>
    <row r="723" spans="1:9" x14ac:dyDescent="0.2">
      <c r="A723">
        <v>1</v>
      </c>
      <c r="B723">
        <v>114</v>
      </c>
      <c r="C723">
        <v>66</v>
      </c>
      <c r="D723">
        <v>36</v>
      </c>
      <c r="E723">
        <v>200</v>
      </c>
      <c r="F723">
        <v>38.1</v>
      </c>
      <c r="G723">
        <v>0.28899999999999998</v>
      </c>
      <c r="H723">
        <v>21</v>
      </c>
      <c r="I723">
        <v>0</v>
      </c>
    </row>
    <row r="724" spans="1:9" x14ac:dyDescent="0.2">
      <c r="A724">
        <v>1</v>
      </c>
      <c r="B724">
        <v>149</v>
      </c>
      <c r="C724">
        <v>68</v>
      </c>
      <c r="D724">
        <v>29</v>
      </c>
      <c r="E724">
        <v>127</v>
      </c>
      <c r="F724">
        <v>29.3</v>
      </c>
      <c r="G724">
        <v>0.34899999999999998</v>
      </c>
      <c r="H724">
        <v>42</v>
      </c>
      <c r="I724">
        <v>1</v>
      </c>
    </row>
    <row r="725" spans="1:9" x14ac:dyDescent="0.2">
      <c r="A725">
        <v>5</v>
      </c>
      <c r="B725">
        <v>117</v>
      </c>
      <c r="C725">
        <v>86</v>
      </c>
      <c r="D725">
        <v>30</v>
      </c>
      <c r="E725">
        <v>105</v>
      </c>
      <c r="F725">
        <v>39.1</v>
      </c>
      <c r="G725">
        <v>0.251</v>
      </c>
      <c r="H725">
        <v>42</v>
      </c>
      <c r="I725">
        <v>0</v>
      </c>
    </row>
    <row r="726" spans="1:9" x14ac:dyDescent="0.2">
      <c r="A726">
        <v>1</v>
      </c>
      <c r="B726">
        <v>111</v>
      </c>
      <c r="C726">
        <v>94</v>
      </c>
      <c r="F726">
        <v>32.799999999999997</v>
      </c>
      <c r="G726">
        <v>0.26500000000000001</v>
      </c>
      <c r="H726">
        <v>45</v>
      </c>
      <c r="I726">
        <v>0</v>
      </c>
    </row>
    <row r="727" spans="1:9" x14ac:dyDescent="0.2">
      <c r="A727">
        <v>4</v>
      </c>
      <c r="B727">
        <v>112</v>
      </c>
      <c r="C727">
        <v>78</v>
      </c>
      <c r="D727">
        <v>40</v>
      </c>
      <c r="F727">
        <v>39.4</v>
      </c>
      <c r="G727">
        <v>0.23599999999999999</v>
      </c>
      <c r="H727">
        <v>38</v>
      </c>
      <c r="I727">
        <v>0</v>
      </c>
    </row>
    <row r="728" spans="1:9" x14ac:dyDescent="0.2">
      <c r="A728">
        <v>1</v>
      </c>
      <c r="B728">
        <v>116</v>
      </c>
      <c r="C728">
        <v>78</v>
      </c>
      <c r="D728">
        <v>29</v>
      </c>
      <c r="E728">
        <v>180</v>
      </c>
      <c r="F728">
        <v>36.1</v>
      </c>
      <c r="G728">
        <v>0.496</v>
      </c>
      <c r="H728">
        <v>25</v>
      </c>
      <c r="I728">
        <v>0</v>
      </c>
    </row>
    <row r="729" spans="1:9" x14ac:dyDescent="0.2">
      <c r="A729">
        <v>0</v>
      </c>
      <c r="B729">
        <v>141</v>
      </c>
      <c r="C729">
        <v>84</v>
      </c>
      <c r="D729">
        <v>26</v>
      </c>
      <c r="F729">
        <v>32.4</v>
      </c>
      <c r="G729">
        <v>0.433</v>
      </c>
      <c r="H729">
        <v>22</v>
      </c>
      <c r="I729">
        <v>0</v>
      </c>
    </row>
    <row r="730" spans="1:9" x14ac:dyDescent="0.2">
      <c r="A730">
        <v>2</v>
      </c>
      <c r="B730">
        <v>175</v>
      </c>
      <c r="C730">
        <v>88</v>
      </c>
      <c r="F730">
        <v>22.9</v>
      </c>
      <c r="G730">
        <v>0.32600000000000001</v>
      </c>
      <c r="H730">
        <v>22</v>
      </c>
      <c r="I730">
        <v>0</v>
      </c>
    </row>
    <row r="731" spans="1:9" x14ac:dyDescent="0.2">
      <c r="A731">
        <v>2</v>
      </c>
      <c r="B731">
        <v>92</v>
      </c>
      <c r="C731">
        <v>52</v>
      </c>
      <c r="F731">
        <v>30.1</v>
      </c>
      <c r="G731">
        <v>0.14099999999999999</v>
      </c>
      <c r="H731">
        <v>22</v>
      </c>
      <c r="I731">
        <v>0</v>
      </c>
    </row>
    <row r="732" spans="1:9" x14ac:dyDescent="0.2">
      <c r="A732">
        <v>3</v>
      </c>
      <c r="B732">
        <v>130</v>
      </c>
      <c r="C732">
        <v>78</v>
      </c>
      <c r="D732">
        <v>23</v>
      </c>
      <c r="E732">
        <v>79</v>
      </c>
      <c r="F732">
        <v>28.4</v>
      </c>
      <c r="G732">
        <v>0.32300000000000001</v>
      </c>
      <c r="H732">
        <v>34</v>
      </c>
      <c r="I732">
        <v>1</v>
      </c>
    </row>
    <row r="733" spans="1:9" x14ac:dyDescent="0.2">
      <c r="A733">
        <v>8</v>
      </c>
      <c r="B733">
        <v>120</v>
      </c>
      <c r="C733">
        <v>86</v>
      </c>
      <c r="F733">
        <v>28.4</v>
      </c>
      <c r="G733">
        <v>0.25900000000000001</v>
      </c>
      <c r="H733">
        <v>22</v>
      </c>
      <c r="I733">
        <v>1</v>
      </c>
    </row>
    <row r="734" spans="1:9" x14ac:dyDescent="0.2">
      <c r="A734">
        <v>2</v>
      </c>
      <c r="B734">
        <v>174</v>
      </c>
      <c r="C734">
        <v>88</v>
      </c>
      <c r="D734">
        <v>37</v>
      </c>
      <c r="E734">
        <v>120</v>
      </c>
      <c r="F734">
        <v>44.5</v>
      </c>
      <c r="G734">
        <v>0.64600000000000002</v>
      </c>
      <c r="H734">
        <v>24</v>
      </c>
      <c r="I734">
        <v>1</v>
      </c>
    </row>
    <row r="735" spans="1:9" x14ac:dyDescent="0.2">
      <c r="A735">
        <v>2</v>
      </c>
      <c r="B735">
        <v>106</v>
      </c>
      <c r="C735">
        <v>56</v>
      </c>
      <c r="D735">
        <v>27</v>
      </c>
      <c r="E735">
        <v>165</v>
      </c>
      <c r="F735">
        <v>29</v>
      </c>
      <c r="G735">
        <v>0.42599999999999999</v>
      </c>
      <c r="H735">
        <v>22</v>
      </c>
      <c r="I735">
        <v>0</v>
      </c>
    </row>
    <row r="736" spans="1:9" x14ac:dyDescent="0.2">
      <c r="A736">
        <v>2</v>
      </c>
      <c r="B736">
        <v>105</v>
      </c>
      <c r="C736">
        <v>75</v>
      </c>
      <c r="F736">
        <v>23.3</v>
      </c>
      <c r="G736">
        <v>0.56000000000000005</v>
      </c>
      <c r="H736">
        <v>53</v>
      </c>
      <c r="I736">
        <v>0</v>
      </c>
    </row>
    <row r="737" spans="1:9" x14ac:dyDescent="0.2">
      <c r="A737">
        <v>4</v>
      </c>
      <c r="B737">
        <v>95</v>
      </c>
      <c r="C737">
        <v>60</v>
      </c>
      <c r="D737">
        <v>32</v>
      </c>
      <c r="F737">
        <v>35.4</v>
      </c>
      <c r="G737">
        <v>0.28399999999999997</v>
      </c>
      <c r="H737">
        <v>28</v>
      </c>
      <c r="I737">
        <v>0</v>
      </c>
    </row>
    <row r="738" spans="1:9" x14ac:dyDescent="0.2">
      <c r="A738">
        <v>0</v>
      </c>
      <c r="B738">
        <v>126</v>
      </c>
      <c r="C738">
        <v>86</v>
      </c>
      <c r="D738">
        <v>27</v>
      </c>
      <c r="E738">
        <v>120</v>
      </c>
      <c r="F738">
        <v>27.4</v>
      </c>
      <c r="G738">
        <v>0.51500000000000001</v>
      </c>
      <c r="H738">
        <v>21</v>
      </c>
      <c r="I738">
        <v>0</v>
      </c>
    </row>
    <row r="739" spans="1:9" x14ac:dyDescent="0.2">
      <c r="A739">
        <v>8</v>
      </c>
      <c r="B739">
        <v>65</v>
      </c>
      <c r="C739">
        <v>72</v>
      </c>
      <c r="D739">
        <v>23</v>
      </c>
      <c r="F739">
        <v>32</v>
      </c>
      <c r="G739">
        <v>0.6</v>
      </c>
      <c r="H739">
        <v>42</v>
      </c>
      <c r="I739">
        <v>0</v>
      </c>
    </row>
    <row r="740" spans="1:9" x14ac:dyDescent="0.2">
      <c r="A740">
        <v>2</v>
      </c>
      <c r="B740">
        <v>99</v>
      </c>
      <c r="C740">
        <v>60</v>
      </c>
      <c r="D740">
        <v>17</v>
      </c>
      <c r="E740">
        <v>160</v>
      </c>
      <c r="F740">
        <v>36.6</v>
      </c>
      <c r="G740">
        <v>0.45300000000000001</v>
      </c>
      <c r="H740">
        <v>21</v>
      </c>
      <c r="I740">
        <v>0</v>
      </c>
    </row>
    <row r="741" spans="1:9" x14ac:dyDescent="0.2">
      <c r="A741">
        <v>1</v>
      </c>
      <c r="B741">
        <v>102</v>
      </c>
      <c r="C741">
        <v>74</v>
      </c>
      <c r="F741">
        <v>39.5</v>
      </c>
      <c r="G741">
        <v>0.29299999999999998</v>
      </c>
      <c r="H741">
        <v>42</v>
      </c>
      <c r="I741">
        <v>1</v>
      </c>
    </row>
    <row r="742" spans="1:9" x14ac:dyDescent="0.2">
      <c r="A742">
        <v>11</v>
      </c>
      <c r="B742">
        <v>120</v>
      </c>
      <c r="C742">
        <v>80</v>
      </c>
      <c r="D742">
        <v>37</v>
      </c>
      <c r="E742">
        <v>150</v>
      </c>
      <c r="F742">
        <v>42.3</v>
      </c>
      <c r="G742">
        <v>0.78500000000000003</v>
      </c>
      <c r="H742">
        <v>48</v>
      </c>
      <c r="I742">
        <v>1</v>
      </c>
    </row>
    <row r="743" spans="1:9" x14ac:dyDescent="0.2">
      <c r="A743">
        <v>3</v>
      </c>
      <c r="B743">
        <v>102</v>
      </c>
      <c r="C743">
        <v>44</v>
      </c>
      <c r="D743">
        <v>20</v>
      </c>
      <c r="E743">
        <v>94</v>
      </c>
      <c r="F743">
        <v>30.8</v>
      </c>
      <c r="G743">
        <v>0.4</v>
      </c>
      <c r="H743">
        <v>26</v>
      </c>
      <c r="I743">
        <v>0</v>
      </c>
    </row>
    <row r="744" spans="1:9" x14ac:dyDescent="0.2">
      <c r="A744">
        <v>1</v>
      </c>
      <c r="B744">
        <v>109</v>
      </c>
      <c r="C744">
        <v>58</v>
      </c>
      <c r="D744">
        <v>18</v>
      </c>
      <c r="E744">
        <v>116</v>
      </c>
      <c r="F744">
        <v>28.5</v>
      </c>
      <c r="G744">
        <v>0.219</v>
      </c>
      <c r="H744">
        <v>22</v>
      </c>
      <c r="I744">
        <v>0</v>
      </c>
    </row>
    <row r="745" spans="1:9" x14ac:dyDescent="0.2">
      <c r="A745">
        <v>9</v>
      </c>
      <c r="B745">
        <v>140</v>
      </c>
      <c r="C745">
        <v>94</v>
      </c>
      <c r="F745">
        <v>32.700000000000003</v>
      </c>
      <c r="G745">
        <v>0.73399999999999999</v>
      </c>
      <c r="H745">
        <v>45</v>
      </c>
      <c r="I745">
        <v>1</v>
      </c>
    </row>
    <row r="746" spans="1:9" x14ac:dyDescent="0.2">
      <c r="A746">
        <v>13</v>
      </c>
      <c r="B746">
        <v>153</v>
      </c>
      <c r="C746">
        <v>88</v>
      </c>
      <c r="D746">
        <v>37</v>
      </c>
      <c r="E746">
        <v>140</v>
      </c>
      <c r="F746">
        <v>40.6</v>
      </c>
      <c r="G746">
        <v>1.1739999999999999</v>
      </c>
      <c r="H746">
        <v>39</v>
      </c>
      <c r="I746">
        <v>0</v>
      </c>
    </row>
    <row r="747" spans="1:9" x14ac:dyDescent="0.2">
      <c r="A747">
        <v>12</v>
      </c>
      <c r="B747">
        <v>100</v>
      </c>
      <c r="C747">
        <v>84</v>
      </c>
      <c r="D747">
        <v>33</v>
      </c>
      <c r="E747">
        <v>105</v>
      </c>
      <c r="F747">
        <v>30</v>
      </c>
      <c r="G747">
        <v>0.48799999999999999</v>
      </c>
      <c r="H747">
        <v>46</v>
      </c>
      <c r="I747">
        <v>0</v>
      </c>
    </row>
    <row r="748" spans="1:9" x14ac:dyDescent="0.2">
      <c r="A748">
        <v>1</v>
      </c>
      <c r="B748">
        <v>147</v>
      </c>
      <c r="C748">
        <v>94</v>
      </c>
      <c r="D748">
        <v>41</v>
      </c>
      <c r="F748">
        <v>49.3</v>
      </c>
      <c r="G748">
        <v>0.35799999999999998</v>
      </c>
      <c r="H748">
        <v>27</v>
      </c>
      <c r="I748">
        <v>1</v>
      </c>
    </row>
    <row r="749" spans="1:9" x14ac:dyDescent="0.2">
      <c r="A749">
        <v>1</v>
      </c>
      <c r="B749">
        <v>81</v>
      </c>
      <c r="C749">
        <v>74</v>
      </c>
      <c r="D749">
        <v>41</v>
      </c>
      <c r="E749">
        <v>57</v>
      </c>
      <c r="F749">
        <v>46.3</v>
      </c>
      <c r="G749">
        <v>1.0960000000000001</v>
      </c>
      <c r="H749">
        <v>32</v>
      </c>
      <c r="I749">
        <v>0</v>
      </c>
    </row>
    <row r="750" spans="1:9" x14ac:dyDescent="0.2">
      <c r="A750">
        <v>3</v>
      </c>
      <c r="B750">
        <v>187</v>
      </c>
      <c r="C750">
        <v>70</v>
      </c>
      <c r="D750">
        <v>22</v>
      </c>
      <c r="E750">
        <v>200</v>
      </c>
      <c r="F750">
        <v>36.4</v>
      </c>
      <c r="G750">
        <v>0.40799999999999997</v>
      </c>
      <c r="H750">
        <v>36</v>
      </c>
      <c r="I750">
        <v>1</v>
      </c>
    </row>
    <row r="751" spans="1:9" x14ac:dyDescent="0.2">
      <c r="A751">
        <v>6</v>
      </c>
      <c r="B751">
        <v>162</v>
      </c>
      <c r="C751">
        <v>62</v>
      </c>
      <c r="F751">
        <v>24.3</v>
      </c>
      <c r="G751">
        <v>0.17799999999999999</v>
      </c>
      <c r="H751">
        <v>50</v>
      </c>
      <c r="I751">
        <v>1</v>
      </c>
    </row>
    <row r="752" spans="1:9" x14ac:dyDescent="0.2">
      <c r="A752">
        <v>4</v>
      </c>
      <c r="B752">
        <v>136</v>
      </c>
      <c r="C752">
        <v>70</v>
      </c>
      <c r="F752">
        <v>31.2</v>
      </c>
      <c r="G752">
        <v>1.1819999999999999</v>
      </c>
      <c r="H752">
        <v>22</v>
      </c>
      <c r="I752">
        <v>1</v>
      </c>
    </row>
    <row r="753" spans="1:9" x14ac:dyDescent="0.2">
      <c r="A753">
        <v>1</v>
      </c>
      <c r="B753">
        <v>121</v>
      </c>
      <c r="C753">
        <v>78</v>
      </c>
      <c r="D753">
        <v>39</v>
      </c>
      <c r="E753">
        <v>74</v>
      </c>
      <c r="F753">
        <v>39</v>
      </c>
      <c r="G753">
        <v>0.26100000000000001</v>
      </c>
      <c r="H753">
        <v>28</v>
      </c>
      <c r="I753">
        <v>0</v>
      </c>
    </row>
    <row r="754" spans="1:9" x14ac:dyDescent="0.2">
      <c r="A754">
        <v>3</v>
      </c>
      <c r="B754">
        <v>108</v>
      </c>
      <c r="C754">
        <v>62</v>
      </c>
      <c r="D754">
        <v>24</v>
      </c>
      <c r="F754">
        <v>26</v>
      </c>
      <c r="G754">
        <v>0.223</v>
      </c>
      <c r="H754">
        <v>25</v>
      </c>
      <c r="I754">
        <v>0</v>
      </c>
    </row>
    <row r="755" spans="1:9" x14ac:dyDescent="0.2">
      <c r="A755">
        <v>0</v>
      </c>
      <c r="B755">
        <v>181</v>
      </c>
      <c r="C755">
        <v>88</v>
      </c>
      <c r="D755">
        <v>44</v>
      </c>
      <c r="E755">
        <v>510</v>
      </c>
      <c r="F755">
        <v>43.3</v>
      </c>
      <c r="G755">
        <v>0.222</v>
      </c>
      <c r="H755">
        <v>26</v>
      </c>
      <c r="I755">
        <v>1</v>
      </c>
    </row>
    <row r="756" spans="1:9" x14ac:dyDescent="0.2">
      <c r="A756">
        <v>8</v>
      </c>
      <c r="B756">
        <v>154</v>
      </c>
      <c r="C756">
        <v>78</v>
      </c>
      <c r="D756">
        <v>32</v>
      </c>
      <c r="F756">
        <v>32.4</v>
      </c>
      <c r="G756">
        <v>0.443</v>
      </c>
      <c r="H756">
        <v>45</v>
      </c>
      <c r="I756">
        <v>1</v>
      </c>
    </row>
    <row r="757" spans="1:9" x14ac:dyDescent="0.2">
      <c r="A757">
        <v>1</v>
      </c>
      <c r="B757">
        <v>128</v>
      </c>
      <c r="C757">
        <v>88</v>
      </c>
      <c r="D757">
        <v>39</v>
      </c>
      <c r="E757">
        <v>110</v>
      </c>
      <c r="F757">
        <v>36.5</v>
      </c>
      <c r="G757">
        <v>1.0569999999999999</v>
      </c>
      <c r="H757">
        <v>37</v>
      </c>
      <c r="I757">
        <v>1</v>
      </c>
    </row>
    <row r="758" spans="1:9" x14ac:dyDescent="0.2">
      <c r="A758">
        <v>7</v>
      </c>
      <c r="B758">
        <v>137</v>
      </c>
      <c r="C758">
        <v>90</v>
      </c>
      <c r="D758">
        <v>41</v>
      </c>
      <c r="F758">
        <v>32</v>
      </c>
      <c r="G758">
        <v>0.39100000000000001</v>
      </c>
      <c r="H758">
        <v>39</v>
      </c>
      <c r="I758">
        <v>0</v>
      </c>
    </row>
    <row r="759" spans="1:9" x14ac:dyDescent="0.2">
      <c r="A759">
        <v>0</v>
      </c>
      <c r="B759">
        <v>123</v>
      </c>
      <c r="C759">
        <v>72</v>
      </c>
      <c r="F759">
        <v>36.299999999999997</v>
      </c>
      <c r="G759">
        <v>0.25800000000000001</v>
      </c>
      <c r="H759">
        <v>52</v>
      </c>
      <c r="I759">
        <v>1</v>
      </c>
    </row>
    <row r="760" spans="1:9" x14ac:dyDescent="0.2">
      <c r="A760">
        <v>1</v>
      </c>
      <c r="B760">
        <v>106</v>
      </c>
      <c r="C760">
        <v>76</v>
      </c>
      <c r="F760">
        <v>37.5</v>
      </c>
      <c r="G760">
        <v>0.19700000000000001</v>
      </c>
      <c r="H760">
        <v>26</v>
      </c>
      <c r="I760">
        <v>0</v>
      </c>
    </row>
    <row r="761" spans="1:9" x14ac:dyDescent="0.2">
      <c r="A761">
        <v>6</v>
      </c>
      <c r="B761">
        <v>190</v>
      </c>
      <c r="C761">
        <v>92</v>
      </c>
      <c r="F761">
        <v>35.5</v>
      </c>
      <c r="G761">
        <v>0.27800000000000002</v>
      </c>
      <c r="H761">
        <v>66</v>
      </c>
      <c r="I761">
        <v>1</v>
      </c>
    </row>
    <row r="762" spans="1:9" x14ac:dyDescent="0.2">
      <c r="A762">
        <v>2</v>
      </c>
      <c r="B762">
        <v>88</v>
      </c>
      <c r="C762">
        <v>58</v>
      </c>
      <c r="D762">
        <v>26</v>
      </c>
      <c r="E762">
        <v>16</v>
      </c>
      <c r="F762">
        <v>28.4</v>
      </c>
      <c r="G762">
        <v>0.76600000000000001</v>
      </c>
      <c r="H762">
        <v>22</v>
      </c>
      <c r="I762">
        <v>0</v>
      </c>
    </row>
    <row r="763" spans="1:9" x14ac:dyDescent="0.2">
      <c r="A763">
        <v>9</v>
      </c>
      <c r="B763">
        <v>170</v>
      </c>
      <c r="C763">
        <v>74</v>
      </c>
      <c r="D763">
        <v>31</v>
      </c>
      <c r="F763">
        <v>44</v>
      </c>
      <c r="G763">
        <v>0.40300000000000002</v>
      </c>
      <c r="H763">
        <v>43</v>
      </c>
      <c r="I763">
        <v>1</v>
      </c>
    </row>
    <row r="764" spans="1:9" x14ac:dyDescent="0.2">
      <c r="A764">
        <v>9</v>
      </c>
      <c r="B764">
        <v>89</v>
      </c>
      <c r="C764">
        <v>62</v>
      </c>
      <c r="F764">
        <v>22.5</v>
      </c>
      <c r="G764">
        <v>0.14199999999999999</v>
      </c>
      <c r="H764">
        <v>33</v>
      </c>
      <c r="I764">
        <v>0</v>
      </c>
    </row>
    <row r="765" spans="1:9" x14ac:dyDescent="0.2">
      <c r="A765">
        <v>10</v>
      </c>
      <c r="B765">
        <v>101</v>
      </c>
      <c r="C765">
        <v>76</v>
      </c>
      <c r="D765">
        <v>48</v>
      </c>
      <c r="E765">
        <v>180</v>
      </c>
      <c r="F765">
        <v>32.9</v>
      </c>
      <c r="G765">
        <v>0.17100000000000001</v>
      </c>
      <c r="H765">
        <v>63</v>
      </c>
      <c r="I765">
        <v>0</v>
      </c>
    </row>
    <row r="766" spans="1:9" x14ac:dyDescent="0.2">
      <c r="A766">
        <v>2</v>
      </c>
      <c r="B766">
        <v>122</v>
      </c>
      <c r="C766">
        <v>70</v>
      </c>
      <c r="D766">
        <v>27</v>
      </c>
      <c r="F766">
        <v>36.799999999999997</v>
      </c>
      <c r="G766">
        <v>0.34</v>
      </c>
      <c r="H766">
        <v>27</v>
      </c>
      <c r="I766">
        <v>0</v>
      </c>
    </row>
    <row r="767" spans="1:9" x14ac:dyDescent="0.2">
      <c r="A767">
        <v>5</v>
      </c>
      <c r="B767">
        <v>121</v>
      </c>
      <c r="C767">
        <v>72</v>
      </c>
      <c r="D767">
        <v>23</v>
      </c>
      <c r="E767">
        <v>112</v>
      </c>
      <c r="F767">
        <v>26.2</v>
      </c>
      <c r="G767">
        <v>0.245</v>
      </c>
      <c r="H767">
        <v>30</v>
      </c>
      <c r="I767">
        <v>0</v>
      </c>
    </row>
    <row r="768" spans="1:9" x14ac:dyDescent="0.2">
      <c r="A768">
        <v>1</v>
      </c>
      <c r="B768">
        <v>126</v>
      </c>
      <c r="C768">
        <v>60</v>
      </c>
      <c r="F768">
        <v>30.1</v>
      </c>
      <c r="G768">
        <v>0.34899999999999998</v>
      </c>
      <c r="H768">
        <v>47</v>
      </c>
      <c r="I768">
        <v>1</v>
      </c>
    </row>
    <row r="769" spans="1:9" x14ac:dyDescent="0.2">
      <c r="A769">
        <v>1</v>
      </c>
      <c r="B769">
        <v>93</v>
      </c>
      <c r="C769">
        <v>70</v>
      </c>
      <c r="D769">
        <v>31</v>
      </c>
      <c r="F769">
        <v>30.4</v>
      </c>
      <c r="G769">
        <v>0.315</v>
      </c>
      <c r="H769">
        <v>23</v>
      </c>
      <c r="I769">
        <v>0</v>
      </c>
    </row>
  </sheetData>
  <autoFilter ref="A1:I769" xr:uid="{FA8FED65-9AEA-8A49-94AF-ADADAE803969}">
    <filterColumn colId="5">
      <customFilters>
        <customFilter operator="notEqual" val=" "/>
      </customFilters>
    </filterColumn>
  </autoFilter>
  <conditionalFormatting sqref="B2:F769">
    <cfRule type="containsBlanks" dxfId="0" priority="1">
      <formula>LEN(TRIM(B2))=0</formula>
    </cfRule>
  </conditionalFormatting>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4050-1896-D44F-B076-D495C1BC11E8}">
  <sheetPr filterMode="1"/>
  <dimension ref="A1:P1001"/>
  <sheetViews>
    <sheetView topLeftCell="N1" zoomScale="120" zoomScaleNormal="120" workbookViewId="0">
      <selection activeCell="P40" sqref="P40"/>
    </sheetView>
  </sheetViews>
  <sheetFormatPr baseColWidth="10" defaultColWidth="11" defaultRowHeight="16" x14ac:dyDescent="0.2"/>
  <cols>
    <col min="5" max="5" width="11.5" style="10" bestFit="1" customWidth="1"/>
    <col min="6" max="6" width="16.6640625" bestFit="1" customWidth="1"/>
  </cols>
  <sheetData>
    <row r="1" spans="1:16" x14ac:dyDescent="0.2">
      <c r="A1" t="s">
        <v>9</v>
      </c>
      <c r="B1" t="s">
        <v>10</v>
      </c>
      <c r="C1" t="s">
        <v>7</v>
      </c>
      <c r="D1" t="s">
        <v>11</v>
      </c>
      <c r="E1" s="10" t="s">
        <v>12</v>
      </c>
      <c r="F1" t="s">
        <v>13</v>
      </c>
    </row>
    <row r="2" spans="1:16" x14ac:dyDescent="0.2">
      <c r="A2">
        <v>10486</v>
      </c>
      <c r="B2" t="s">
        <v>19</v>
      </c>
      <c r="C2">
        <v>3</v>
      </c>
      <c r="D2" t="s">
        <v>18</v>
      </c>
      <c r="E2" s="10">
        <v>1454</v>
      </c>
      <c r="F2" t="s">
        <v>20</v>
      </c>
      <c r="P2" s="9" t="s">
        <v>51</v>
      </c>
    </row>
    <row r="3" spans="1:16" x14ac:dyDescent="0.2">
      <c r="A3">
        <v>10538</v>
      </c>
      <c r="B3" t="s">
        <v>21</v>
      </c>
      <c r="C3">
        <v>19</v>
      </c>
      <c r="D3" t="s">
        <v>15</v>
      </c>
      <c r="E3" s="10">
        <v>6400</v>
      </c>
      <c r="F3" t="s">
        <v>20</v>
      </c>
      <c r="P3" s="13" t="s">
        <v>52</v>
      </c>
    </row>
    <row r="4" spans="1:16" x14ac:dyDescent="0.2">
      <c r="A4">
        <v>10690</v>
      </c>
      <c r="B4" t="s">
        <v>14</v>
      </c>
      <c r="C4">
        <v>15</v>
      </c>
      <c r="D4" t="s">
        <v>15</v>
      </c>
      <c r="E4" s="10">
        <v>4566</v>
      </c>
      <c r="F4" t="s">
        <v>20</v>
      </c>
      <c r="P4" s="13" t="s">
        <v>53</v>
      </c>
    </row>
    <row r="5" spans="1:16" x14ac:dyDescent="0.2">
      <c r="A5">
        <v>10823</v>
      </c>
      <c r="B5" t="s">
        <v>14</v>
      </c>
      <c r="C5">
        <v>13</v>
      </c>
      <c r="D5" t="s">
        <v>18</v>
      </c>
      <c r="E5" s="10">
        <v>2887</v>
      </c>
      <c r="F5" t="s">
        <v>20</v>
      </c>
    </row>
    <row r="6" spans="1:16" x14ac:dyDescent="0.2">
      <c r="A6">
        <v>11024</v>
      </c>
      <c r="B6" t="s">
        <v>14</v>
      </c>
      <c r="C6">
        <v>14</v>
      </c>
      <c r="D6" t="s">
        <v>18</v>
      </c>
      <c r="E6" s="10">
        <v>3048</v>
      </c>
      <c r="F6" t="s">
        <v>20</v>
      </c>
    </row>
    <row r="7" spans="1:16" x14ac:dyDescent="0.2">
      <c r="A7">
        <v>11201</v>
      </c>
      <c r="B7" t="s">
        <v>21</v>
      </c>
      <c r="C7">
        <v>20</v>
      </c>
      <c r="D7" t="s">
        <v>18</v>
      </c>
      <c r="E7" s="10">
        <v>10047</v>
      </c>
      <c r="F7" t="s">
        <v>20</v>
      </c>
    </row>
    <row r="8" spans="1:16" x14ac:dyDescent="0.2">
      <c r="A8">
        <v>11441</v>
      </c>
      <c r="B8" t="s">
        <v>19</v>
      </c>
      <c r="C8">
        <v>5</v>
      </c>
      <c r="D8" t="s">
        <v>15</v>
      </c>
      <c r="E8" s="10">
        <v>1748</v>
      </c>
      <c r="F8" t="s">
        <v>20</v>
      </c>
    </row>
    <row r="9" spans="1:16" hidden="1" x14ac:dyDescent="0.2">
      <c r="A9">
        <v>10778</v>
      </c>
      <c r="B9" t="s">
        <v>14</v>
      </c>
      <c r="C9">
        <v>17</v>
      </c>
      <c r="D9" t="s">
        <v>18</v>
      </c>
      <c r="E9">
        <v>3873</v>
      </c>
      <c r="F9" t="s">
        <v>22</v>
      </c>
    </row>
    <row r="10" spans="1:16" x14ac:dyDescent="0.2">
      <c r="A10">
        <v>11466</v>
      </c>
      <c r="B10" t="s">
        <v>14</v>
      </c>
      <c r="C10">
        <v>15</v>
      </c>
      <c r="D10" t="s">
        <v>15</v>
      </c>
      <c r="E10" s="10">
        <v>4515</v>
      </c>
      <c r="F10" t="s">
        <v>20</v>
      </c>
    </row>
    <row r="11" spans="1:16" x14ac:dyDescent="0.2">
      <c r="A11">
        <v>11812</v>
      </c>
      <c r="B11" t="s">
        <v>19</v>
      </c>
      <c r="C11">
        <v>5</v>
      </c>
      <c r="D11" t="s">
        <v>18</v>
      </c>
      <c r="E11" s="10">
        <v>1861</v>
      </c>
      <c r="F11" t="s">
        <v>20</v>
      </c>
    </row>
    <row r="12" spans="1:16" x14ac:dyDescent="0.2">
      <c r="A12">
        <v>11842</v>
      </c>
      <c r="B12" t="s">
        <v>19</v>
      </c>
      <c r="C12">
        <v>5</v>
      </c>
      <c r="D12" t="s">
        <v>18</v>
      </c>
      <c r="E12" s="10">
        <v>1598</v>
      </c>
      <c r="F12" t="s">
        <v>20</v>
      </c>
    </row>
    <row r="13" spans="1:16" x14ac:dyDescent="0.2">
      <c r="A13">
        <v>11922</v>
      </c>
      <c r="B13" t="s">
        <v>17</v>
      </c>
      <c r="C13">
        <v>22</v>
      </c>
      <c r="D13" t="s">
        <v>15</v>
      </c>
      <c r="E13" s="10">
        <v>46571</v>
      </c>
      <c r="F13" t="s">
        <v>20</v>
      </c>
    </row>
    <row r="14" spans="1:16" x14ac:dyDescent="0.2">
      <c r="A14">
        <v>11935</v>
      </c>
      <c r="B14" t="s">
        <v>19</v>
      </c>
      <c r="C14">
        <v>3</v>
      </c>
      <c r="D14" t="s">
        <v>18</v>
      </c>
      <c r="E14" s="10">
        <v>1066</v>
      </c>
      <c r="F14" t="s">
        <v>20</v>
      </c>
    </row>
    <row r="15" spans="1:16" hidden="1" x14ac:dyDescent="0.2">
      <c r="A15">
        <v>11189</v>
      </c>
      <c r="B15" t="s">
        <v>14</v>
      </c>
      <c r="C15">
        <v>17</v>
      </c>
      <c r="D15" t="s">
        <v>18</v>
      </c>
      <c r="E15">
        <v>5340</v>
      </c>
      <c r="F15" t="s">
        <v>23</v>
      </c>
    </row>
    <row r="16" spans="1:16" x14ac:dyDescent="0.2">
      <c r="A16">
        <v>14233</v>
      </c>
      <c r="B16" t="s">
        <v>26</v>
      </c>
      <c r="C16">
        <v>6</v>
      </c>
      <c r="D16" t="s">
        <v>15</v>
      </c>
      <c r="E16" s="10">
        <v>2354</v>
      </c>
      <c r="F16" t="s">
        <v>20</v>
      </c>
    </row>
    <row r="17" spans="1:7" hidden="1" x14ac:dyDescent="0.2">
      <c r="A17">
        <v>11210</v>
      </c>
      <c r="B17" t="s">
        <v>17</v>
      </c>
      <c r="C17">
        <v>25</v>
      </c>
      <c r="D17" t="s">
        <v>15</v>
      </c>
      <c r="E17">
        <v>34795</v>
      </c>
      <c r="F17" t="s">
        <v>22</v>
      </c>
    </row>
    <row r="18" spans="1:7" x14ac:dyDescent="0.2">
      <c r="A18">
        <v>14523</v>
      </c>
      <c r="B18" t="s">
        <v>19</v>
      </c>
      <c r="C18">
        <v>3</v>
      </c>
      <c r="D18" t="s">
        <v>18</v>
      </c>
      <c r="E18" s="10">
        <v>674</v>
      </c>
      <c r="F18" t="s">
        <v>20</v>
      </c>
    </row>
    <row r="19" spans="1:7" hidden="1" x14ac:dyDescent="0.2">
      <c r="A19">
        <v>11380</v>
      </c>
      <c r="B19" t="s">
        <v>17</v>
      </c>
      <c r="C19">
        <v>41</v>
      </c>
      <c r="D19" t="s">
        <v>18</v>
      </c>
      <c r="E19">
        <v>54115</v>
      </c>
      <c r="F19" t="s">
        <v>24</v>
      </c>
    </row>
    <row r="20" spans="1:7" x14ac:dyDescent="0.2">
      <c r="A20">
        <v>14845</v>
      </c>
      <c r="B20" t="s">
        <v>14</v>
      </c>
      <c r="C20">
        <v>16</v>
      </c>
      <c r="D20" t="s">
        <v>18</v>
      </c>
      <c r="E20" s="10">
        <v>4968</v>
      </c>
      <c r="F20" t="s">
        <v>20</v>
      </c>
    </row>
    <row r="21" spans="1:7" x14ac:dyDescent="0.2">
      <c r="A21">
        <v>15448</v>
      </c>
      <c r="B21" t="s">
        <v>26</v>
      </c>
      <c r="C21">
        <v>8</v>
      </c>
      <c r="D21" t="s">
        <v>15</v>
      </c>
      <c r="E21" s="10">
        <v>2895</v>
      </c>
      <c r="F21" t="s">
        <v>20</v>
      </c>
    </row>
    <row r="22" spans="1:7" x14ac:dyDescent="0.2">
      <c r="A22">
        <v>15778</v>
      </c>
      <c r="B22" t="s">
        <v>26</v>
      </c>
      <c r="C22">
        <v>10</v>
      </c>
      <c r="D22" t="s">
        <v>15</v>
      </c>
      <c r="E22" s="10">
        <v>1915</v>
      </c>
      <c r="F22" t="s">
        <v>20</v>
      </c>
    </row>
    <row r="23" spans="1:7" x14ac:dyDescent="0.2">
      <c r="A23">
        <v>15801</v>
      </c>
      <c r="B23" t="s">
        <v>14</v>
      </c>
      <c r="C23">
        <v>16</v>
      </c>
      <c r="D23" t="s">
        <v>18</v>
      </c>
      <c r="E23" s="10">
        <v>4091</v>
      </c>
      <c r="F23" t="s">
        <v>20</v>
      </c>
    </row>
    <row r="24" spans="1:7" x14ac:dyDescent="0.2">
      <c r="A24">
        <v>15888</v>
      </c>
      <c r="B24" t="s">
        <v>14</v>
      </c>
      <c r="C24">
        <v>13</v>
      </c>
      <c r="D24" t="s">
        <v>18</v>
      </c>
      <c r="E24" s="10">
        <v>4798</v>
      </c>
      <c r="F24" t="s">
        <v>20</v>
      </c>
      <c r="G24" s="11"/>
    </row>
    <row r="25" spans="1:7" x14ac:dyDescent="0.2">
      <c r="A25">
        <v>16052</v>
      </c>
      <c r="B25" t="s">
        <v>14</v>
      </c>
      <c r="C25">
        <v>16</v>
      </c>
      <c r="D25" t="s">
        <v>15</v>
      </c>
      <c r="E25" s="10">
        <v>3212</v>
      </c>
      <c r="F25" t="s">
        <v>20</v>
      </c>
    </row>
    <row r="26" spans="1:7" hidden="1" x14ac:dyDescent="0.2">
      <c r="A26">
        <v>12127</v>
      </c>
      <c r="B26" t="s">
        <v>14</v>
      </c>
      <c r="C26">
        <v>16</v>
      </c>
      <c r="D26" t="s">
        <v>15</v>
      </c>
      <c r="E26">
        <v>3867</v>
      </c>
      <c r="F26" t="s">
        <v>22</v>
      </c>
    </row>
    <row r="27" spans="1:7" x14ac:dyDescent="0.2">
      <c r="A27">
        <v>16515</v>
      </c>
      <c r="B27" t="s">
        <v>21</v>
      </c>
      <c r="C27">
        <v>20</v>
      </c>
      <c r="D27" t="s">
        <v>18</v>
      </c>
      <c r="E27" s="10">
        <v>11998</v>
      </c>
      <c r="F27" t="s">
        <v>20</v>
      </c>
    </row>
    <row r="28" spans="1:7" x14ac:dyDescent="0.2">
      <c r="A28">
        <v>16525</v>
      </c>
      <c r="B28" t="s">
        <v>17</v>
      </c>
      <c r="C28">
        <v>45</v>
      </c>
      <c r="D28" t="s">
        <v>18</v>
      </c>
      <c r="E28" s="10">
        <v>50304</v>
      </c>
      <c r="F28" t="s">
        <v>20</v>
      </c>
    </row>
    <row r="29" spans="1:7" hidden="1" x14ac:dyDescent="0.2">
      <c r="A29">
        <v>12530</v>
      </c>
      <c r="B29" t="s">
        <v>21</v>
      </c>
      <c r="C29">
        <v>18</v>
      </c>
      <c r="D29" t="s">
        <v>15</v>
      </c>
      <c r="E29">
        <v>10434</v>
      </c>
      <c r="F29" t="s">
        <v>24</v>
      </c>
    </row>
    <row r="30" spans="1:7" x14ac:dyDescent="0.2">
      <c r="A30">
        <v>16981</v>
      </c>
      <c r="B30" t="s">
        <v>19</v>
      </c>
      <c r="C30">
        <v>5</v>
      </c>
      <c r="D30" t="s">
        <v>15</v>
      </c>
      <c r="E30" s="10">
        <v>1130</v>
      </c>
      <c r="F30" t="s">
        <v>20</v>
      </c>
    </row>
    <row r="31" spans="1:7" x14ac:dyDescent="0.2">
      <c r="A31">
        <v>17276</v>
      </c>
      <c r="B31" t="s">
        <v>17</v>
      </c>
      <c r="C31">
        <v>32</v>
      </c>
      <c r="D31" t="s">
        <v>18</v>
      </c>
      <c r="E31" s="10">
        <v>38310</v>
      </c>
      <c r="F31" t="s">
        <v>20</v>
      </c>
    </row>
    <row r="32" spans="1:7" hidden="1" x14ac:dyDescent="0.2">
      <c r="A32">
        <v>12850</v>
      </c>
      <c r="B32" t="s">
        <v>14</v>
      </c>
      <c r="C32">
        <v>13</v>
      </c>
      <c r="D32" t="s">
        <v>18</v>
      </c>
      <c r="E32">
        <v>3775</v>
      </c>
      <c r="F32" t="s">
        <v>23</v>
      </c>
    </row>
    <row r="33" spans="1:16" x14ac:dyDescent="0.2">
      <c r="A33">
        <v>17354</v>
      </c>
      <c r="B33" t="s">
        <v>14</v>
      </c>
      <c r="C33">
        <v>13</v>
      </c>
      <c r="D33" t="s">
        <v>15</v>
      </c>
      <c r="E33" s="10">
        <v>3638</v>
      </c>
      <c r="F33" t="s">
        <v>20</v>
      </c>
      <c r="P33" s="9" t="s">
        <v>54</v>
      </c>
    </row>
    <row r="34" spans="1:16" x14ac:dyDescent="0.2">
      <c r="A34">
        <v>17604</v>
      </c>
      <c r="B34" t="s">
        <v>21</v>
      </c>
      <c r="C34">
        <v>19</v>
      </c>
      <c r="D34" t="s">
        <v>18</v>
      </c>
      <c r="E34" s="10">
        <v>7621</v>
      </c>
      <c r="F34" t="s">
        <v>20</v>
      </c>
      <c r="P34" s="13" t="s">
        <v>55</v>
      </c>
    </row>
    <row r="35" spans="1:16" x14ac:dyDescent="0.2">
      <c r="A35">
        <v>17744</v>
      </c>
      <c r="B35" t="s">
        <v>26</v>
      </c>
      <c r="C35">
        <v>6</v>
      </c>
      <c r="D35" t="s">
        <v>15</v>
      </c>
      <c r="E35" s="10">
        <v>1423</v>
      </c>
      <c r="F35" t="s">
        <v>20</v>
      </c>
      <c r="P35" s="13" t="s">
        <v>56</v>
      </c>
    </row>
    <row r="36" spans="1:16" hidden="1" x14ac:dyDescent="0.2">
      <c r="A36">
        <v>13195</v>
      </c>
      <c r="B36" t="s">
        <v>14</v>
      </c>
      <c r="C36">
        <v>15</v>
      </c>
      <c r="D36" t="s">
        <v>15</v>
      </c>
      <c r="E36">
        <v>4629</v>
      </c>
      <c r="F36" t="s">
        <v>24</v>
      </c>
    </row>
    <row r="37" spans="1:16" x14ac:dyDescent="0.2">
      <c r="A37">
        <v>17799</v>
      </c>
      <c r="B37" t="s">
        <v>14</v>
      </c>
      <c r="C37">
        <v>17</v>
      </c>
      <c r="D37" t="s">
        <v>15</v>
      </c>
      <c r="E37" s="10">
        <v>4395</v>
      </c>
      <c r="F37" t="s">
        <v>20</v>
      </c>
      <c r="P37" s="13" t="s">
        <v>71</v>
      </c>
    </row>
    <row r="38" spans="1:16" hidden="1" x14ac:dyDescent="0.2">
      <c r="A38">
        <v>13692</v>
      </c>
      <c r="B38" t="s">
        <v>14</v>
      </c>
      <c r="C38">
        <v>15</v>
      </c>
      <c r="D38" t="s">
        <v>15</v>
      </c>
      <c r="E38">
        <v>3392</v>
      </c>
      <c r="F38" t="s">
        <v>24</v>
      </c>
    </row>
    <row r="39" spans="1:16" hidden="1" x14ac:dyDescent="0.2">
      <c r="A39">
        <v>13722</v>
      </c>
      <c r="B39" t="s">
        <v>14</v>
      </c>
      <c r="C39">
        <v>14</v>
      </c>
      <c r="D39" t="s">
        <v>18</v>
      </c>
      <c r="E39">
        <v>5696</v>
      </c>
      <c r="F39" t="s">
        <v>22</v>
      </c>
    </row>
    <row r="40" spans="1:16" x14ac:dyDescent="0.2">
      <c r="A40">
        <v>18127</v>
      </c>
      <c r="B40" t="s">
        <v>17</v>
      </c>
      <c r="C40">
        <v>34</v>
      </c>
      <c r="D40" t="s">
        <v>15</v>
      </c>
      <c r="E40" s="10">
        <v>39521</v>
      </c>
      <c r="F40" t="s">
        <v>20</v>
      </c>
    </row>
    <row r="41" spans="1:16" x14ac:dyDescent="0.2">
      <c r="A41">
        <v>18262</v>
      </c>
      <c r="B41" t="s">
        <v>21</v>
      </c>
      <c r="C41">
        <v>18</v>
      </c>
      <c r="D41" t="s">
        <v>18</v>
      </c>
      <c r="E41" s="10">
        <v>15018</v>
      </c>
      <c r="F41" t="s">
        <v>20</v>
      </c>
      <c r="P41" s="9" t="s">
        <v>57</v>
      </c>
    </row>
    <row r="42" spans="1:16" x14ac:dyDescent="0.2">
      <c r="A42">
        <v>18421</v>
      </c>
      <c r="B42" t="s">
        <v>14</v>
      </c>
      <c r="C42">
        <v>15</v>
      </c>
      <c r="D42" t="s">
        <v>15</v>
      </c>
      <c r="E42" s="10">
        <v>4525</v>
      </c>
      <c r="F42" t="s">
        <v>20</v>
      </c>
      <c r="P42" s="12" t="s">
        <v>58</v>
      </c>
    </row>
    <row r="43" spans="1:16" hidden="1" x14ac:dyDescent="0.2">
      <c r="A43">
        <v>14427</v>
      </c>
      <c r="B43" t="s">
        <v>26</v>
      </c>
      <c r="C43">
        <v>10</v>
      </c>
      <c r="D43" t="s">
        <v>15</v>
      </c>
      <c r="E43">
        <v>2559</v>
      </c>
      <c r="F43" t="s">
        <v>22</v>
      </c>
    </row>
    <row r="44" spans="1:16" x14ac:dyDescent="0.2">
      <c r="A44">
        <v>18482</v>
      </c>
      <c r="B44" t="s">
        <v>14</v>
      </c>
      <c r="C44">
        <v>16</v>
      </c>
      <c r="D44" t="s">
        <v>18</v>
      </c>
      <c r="E44" s="10">
        <v>3796</v>
      </c>
      <c r="F44" t="s">
        <v>20</v>
      </c>
      <c r="P44" s="12" t="s">
        <v>59</v>
      </c>
    </row>
    <row r="45" spans="1:16" x14ac:dyDescent="0.2">
      <c r="A45">
        <v>19147</v>
      </c>
      <c r="B45" t="s">
        <v>19</v>
      </c>
      <c r="C45">
        <v>1</v>
      </c>
      <c r="D45" t="s">
        <v>18</v>
      </c>
      <c r="E45" s="10">
        <v>1363</v>
      </c>
      <c r="F45" t="s">
        <v>20</v>
      </c>
      <c r="P45" s="13" t="s">
        <v>60</v>
      </c>
    </row>
    <row r="46" spans="1:16" hidden="1" x14ac:dyDescent="0.2">
      <c r="A46">
        <v>14648</v>
      </c>
      <c r="B46" t="s">
        <v>17</v>
      </c>
      <c r="C46">
        <v>26</v>
      </c>
      <c r="D46" t="s">
        <v>18</v>
      </c>
      <c r="E46">
        <v>39844</v>
      </c>
      <c r="F46" t="s">
        <v>24</v>
      </c>
    </row>
    <row r="47" spans="1:16" x14ac:dyDescent="0.2">
      <c r="A47">
        <v>19250</v>
      </c>
      <c r="B47" t="s">
        <v>25</v>
      </c>
      <c r="C47">
        <v>94</v>
      </c>
      <c r="D47" t="s">
        <v>15</v>
      </c>
      <c r="E47" s="10">
        <v>60871</v>
      </c>
      <c r="F47" t="s">
        <v>20</v>
      </c>
    </row>
    <row r="48" spans="1:16" x14ac:dyDescent="0.2">
      <c r="A48">
        <v>19290</v>
      </c>
      <c r="B48" t="s">
        <v>19</v>
      </c>
      <c r="C48">
        <v>5</v>
      </c>
      <c r="D48" t="s">
        <v>18</v>
      </c>
      <c r="E48" s="10">
        <v>1713</v>
      </c>
      <c r="F48" t="s">
        <v>20</v>
      </c>
    </row>
    <row r="49" spans="1:6" x14ac:dyDescent="0.2">
      <c r="A49">
        <v>19661</v>
      </c>
      <c r="B49" t="s">
        <v>17</v>
      </c>
      <c r="C49">
        <v>23</v>
      </c>
      <c r="D49" t="s">
        <v>15</v>
      </c>
      <c r="E49" s="10">
        <v>49028</v>
      </c>
      <c r="F49" t="s">
        <v>20</v>
      </c>
    </row>
    <row r="50" spans="1:6" x14ac:dyDescent="0.2">
      <c r="A50">
        <v>20073</v>
      </c>
      <c r="B50" t="s">
        <v>19</v>
      </c>
      <c r="C50">
        <v>4</v>
      </c>
      <c r="D50" t="s">
        <v>15</v>
      </c>
      <c r="E50" s="10">
        <v>1977</v>
      </c>
      <c r="F50" t="s">
        <v>20</v>
      </c>
    </row>
    <row r="51" spans="1:6" x14ac:dyDescent="0.2">
      <c r="A51">
        <v>20380</v>
      </c>
      <c r="B51" t="s">
        <v>26</v>
      </c>
      <c r="C51">
        <v>12</v>
      </c>
      <c r="D51" t="s">
        <v>15</v>
      </c>
      <c r="E51" s="10">
        <v>3450</v>
      </c>
      <c r="F51" t="s">
        <v>20</v>
      </c>
    </row>
    <row r="52" spans="1:6" x14ac:dyDescent="0.2">
      <c r="A52">
        <v>20810</v>
      </c>
      <c r="B52" t="s">
        <v>21</v>
      </c>
      <c r="C52">
        <v>20</v>
      </c>
      <c r="D52" t="s">
        <v>18</v>
      </c>
      <c r="E52" s="10">
        <v>9161</v>
      </c>
      <c r="F52" t="s">
        <v>20</v>
      </c>
    </row>
    <row r="53" spans="1:6" hidden="1" x14ac:dyDescent="0.2">
      <c r="A53">
        <v>15205</v>
      </c>
      <c r="B53" t="s">
        <v>17</v>
      </c>
      <c r="C53">
        <v>24</v>
      </c>
      <c r="D53" t="s">
        <v>15</v>
      </c>
      <c r="E53">
        <v>42192</v>
      </c>
      <c r="F53" t="s">
        <v>22</v>
      </c>
    </row>
    <row r="54" spans="1:6" x14ac:dyDescent="0.2">
      <c r="A54">
        <v>20832</v>
      </c>
      <c r="B54" t="s">
        <v>26</v>
      </c>
      <c r="C54">
        <v>12</v>
      </c>
      <c r="D54" t="s">
        <v>15</v>
      </c>
      <c r="E54" s="10">
        <v>3007</v>
      </c>
      <c r="F54" t="s">
        <v>20</v>
      </c>
    </row>
    <row r="55" spans="1:6" x14ac:dyDescent="0.2">
      <c r="A55">
        <v>20876</v>
      </c>
      <c r="B55" t="s">
        <v>14</v>
      </c>
      <c r="C55">
        <v>15</v>
      </c>
      <c r="D55" t="s">
        <v>18</v>
      </c>
      <c r="E55" s="10">
        <v>3269</v>
      </c>
      <c r="F55" t="s">
        <v>20</v>
      </c>
    </row>
    <row r="56" spans="1:6" x14ac:dyDescent="0.2">
      <c r="A56">
        <v>20918</v>
      </c>
      <c r="B56" t="s">
        <v>17</v>
      </c>
      <c r="C56">
        <v>24</v>
      </c>
      <c r="D56" t="s">
        <v>15</v>
      </c>
      <c r="E56" s="10">
        <v>40980</v>
      </c>
      <c r="F56" t="s">
        <v>20</v>
      </c>
    </row>
    <row r="57" spans="1:6" x14ac:dyDescent="0.2">
      <c r="A57">
        <v>20976</v>
      </c>
      <c r="B57" t="s">
        <v>19</v>
      </c>
      <c r="C57">
        <v>4</v>
      </c>
      <c r="D57" t="s">
        <v>18</v>
      </c>
      <c r="E57" s="10">
        <v>1196</v>
      </c>
      <c r="F57" t="s">
        <v>20</v>
      </c>
    </row>
    <row r="58" spans="1:6" x14ac:dyDescent="0.2">
      <c r="A58">
        <v>21158</v>
      </c>
      <c r="B58" t="s">
        <v>17</v>
      </c>
      <c r="C58">
        <v>24</v>
      </c>
      <c r="D58" t="s">
        <v>15</v>
      </c>
      <c r="E58" s="10">
        <v>51149</v>
      </c>
      <c r="F58" t="s">
        <v>20</v>
      </c>
    </row>
    <row r="59" spans="1:6" x14ac:dyDescent="0.2">
      <c r="A59">
        <v>21167</v>
      </c>
      <c r="B59" t="s">
        <v>21</v>
      </c>
      <c r="C59">
        <v>18</v>
      </c>
      <c r="D59" t="s">
        <v>15</v>
      </c>
      <c r="E59" s="10">
        <v>11038</v>
      </c>
      <c r="F59" t="s">
        <v>20</v>
      </c>
    </row>
    <row r="60" spans="1:6" x14ac:dyDescent="0.2">
      <c r="A60">
        <v>21351</v>
      </c>
      <c r="B60" t="s">
        <v>21</v>
      </c>
      <c r="C60">
        <v>19</v>
      </c>
      <c r="D60" t="s">
        <v>15</v>
      </c>
      <c r="E60" s="10">
        <v>12649</v>
      </c>
      <c r="F60" t="s">
        <v>20</v>
      </c>
    </row>
    <row r="61" spans="1:6" x14ac:dyDescent="0.2">
      <c r="A61">
        <v>21585</v>
      </c>
      <c r="B61" t="s">
        <v>26</v>
      </c>
      <c r="C61">
        <v>11</v>
      </c>
      <c r="D61" t="s">
        <v>15</v>
      </c>
      <c r="E61" s="10">
        <v>2664</v>
      </c>
      <c r="F61" t="s">
        <v>20</v>
      </c>
    </row>
    <row r="62" spans="1:6" hidden="1" x14ac:dyDescent="0.2">
      <c r="A62">
        <v>16048</v>
      </c>
      <c r="B62" t="s">
        <v>26</v>
      </c>
      <c r="C62">
        <v>6</v>
      </c>
      <c r="D62" t="s">
        <v>15</v>
      </c>
      <c r="E62">
        <v>1783</v>
      </c>
      <c r="F62" t="s">
        <v>24</v>
      </c>
    </row>
    <row r="63" spans="1:6" x14ac:dyDescent="0.2">
      <c r="A63">
        <v>21591</v>
      </c>
      <c r="B63" t="s">
        <v>25</v>
      </c>
      <c r="C63">
        <v>66</v>
      </c>
      <c r="D63" t="s">
        <v>15</v>
      </c>
      <c r="E63" s="10">
        <v>59926</v>
      </c>
      <c r="F63" t="s">
        <v>20</v>
      </c>
    </row>
    <row r="64" spans="1:6" x14ac:dyDescent="0.2">
      <c r="A64">
        <v>22056</v>
      </c>
      <c r="B64" t="s">
        <v>21</v>
      </c>
      <c r="C64">
        <v>19</v>
      </c>
      <c r="D64" t="s">
        <v>18</v>
      </c>
      <c r="E64" s="10">
        <v>9972</v>
      </c>
      <c r="F64" t="s">
        <v>20</v>
      </c>
    </row>
    <row r="65" spans="1:6" x14ac:dyDescent="0.2">
      <c r="A65">
        <v>22124</v>
      </c>
      <c r="B65" t="s">
        <v>14</v>
      </c>
      <c r="C65">
        <v>14</v>
      </c>
      <c r="D65" t="s">
        <v>15</v>
      </c>
      <c r="E65" s="10">
        <v>5920</v>
      </c>
      <c r="F65" t="s">
        <v>20</v>
      </c>
    </row>
    <row r="66" spans="1:6" x14ac:dyDescent="0.2">
      <c r="A66">
        <v>22125</v>
      </c>
      <c r="B66" t="s">
        <v>19</v>
      </c>
      <c r="C66">
        <v>5</v>
      </c>
      <c r="D66" t="s">
        <v>18</v>
      </c>
      <c r="E66" s="10">
        <v>2549</v>
      </c>
      <c r="F66" t="s">
        <v>20</v>
      </c>
    </row>
    <row r="67" spans="1:6" x14ac:dyDescent="0.2">
      <c r="A67">
        <v>22446</v>
      </c>
      <c r="B67" t="s">
        <v>14</v>
      </c>
      <c r="C67">
        <v>17</v>
      </c>
      <c r="D67" t="s">
        <v>18</v>
      </c>
      <c r="E67" s="10">
        <v>2686</v>
      </c>
      <c r="F67" t="s">
        <v>20</v>
      </c>
    </row>
    <row r="68" spans="1:6" x14ac:dyDescent="0.2">
      <c r="A68">
        <v>22534</v>
      </c>
      <c r="B68" t="s">
        <v>17</v>
      </c>
      <c r="C68">
        <v>34</v>
      </c>
      <c r="D68" t="s">
        <v>15</v>
      </c>
      <c r="E68" s="10">
        <v>40277</v>
      </c>
      <c r="F68" t="s">
        <v>20</v>
      </c>
    </row>
    <row r="69" spans="1:6" x14ac:dyDescent="0.2">
      <c r="A69">
        <v>22697</v>
      </c>
      <c r="B69" t="s">
        <v>14</v>
      </c>
      <c r="C69">
        <v>13</v>
      </c>
      <c r="D69" t="s">
        <v>18</v>
      </c>
      <c r="E69" s="10">
        <v>4097</v>
      </c>
      <c r="F69" t="s">
        <v>20</v>
      </c>
    </row>
    <row r="70" spans="1:6" x14ac:dyDescent="0.2">
      <c r="A70">
        <v>22700</v>
      </c>
      <c r="B70" t="s">
        <v>19</v>
      </c>
      <c r="C70">
        <v>4</v>
      </c>
      <c r="D70" t="s">
        <v>18</v>
      </c>
      <c r="E70" s="10">
        <v>1957</v>
      </c>
      <c r="F70" t="s">
        <v>20</v>
      </c>
    </row>
    <row r="71" spans="1:6" x14ac:dyDescent="0.2">
      <c r="A71">
        <v>22764</v>
      </c>
      <c r="B71" t="s">
        <v>19</v>
      </c>
      <c r="C71">
        <v>5</v>
      </c>
      <c r="D71" t="s">
        <v>18</v>
      </c>
      <c r="E71" s="10">
        <v>1646</v>
      </c>
      <c r="F71" t="s">
        <v>20</v>
      </c>
    </row>
    <row r="72" spans="1:6" hidden="1" x14ac:dyDescent="0.2">
      <c r="A72">
        <v>17361</v>
      </c>
      <c r="B72" t="s">
        <v>25</v>
      </c>
      <c r="C72">
        <v>74</v>
      </c>
      <c r="D72" t="s">
        <v>15</v>
      </c>
      <c r="E72">
        <v>54616</v>
      </c>
      <c r="F72" t="s">
        <v>24</v>
      </c>
    </row>
    <row r="73" spans="1:6" hidden="1" x14ac:dyDescent="0.2">
      <c r="A73">
        <v>17456</v>
      </c>
      <c r="B73" t="s">
        <v>17</v>
      </c>
      <c r="C73">
        <v>26</v>
      </c>
      <c r="D73" t="s">
        <v>15</v>
      </c>
      <c r="E73">
        <v>30504</v>
      </c>
      <c r="F73" t="s">
        <v>24</v>
      </c>
    </row>
    <row r="74" spans="1:6" x14ac:dyDescent="0.2">
      <c r="A74">
        <v>22879</v>
      </c>
      <c r="B74" t="s">
        <v>19</v>
      </c>
      <c r="C74">
        <v>4</v>
      </c>
      <c r="D74" t="s">
        <v>18</v>
      </c>
      <c r="E74" s="10">
        <v>1525</v>
      </c>
      <c r="F74" t="s">
        <v>20</v>
      </c>
    </row>
    <row r="75" spans="1:6" x14ac:dyDescent="0.2">
      <c r="A75">
        <v>22964</v>
      </c>
      <c r="B75" t="s">
        <v>19</v>
      </c>
      <c r="C75">
        <v>4</v>
      </c>
      <c r="D75" t="s">
        <v>18</v>
      </c>
      <c r="E75" s="10">
        <v>1294</v>
      </c>
      <c r="F75" t="s">
        <v>20</v>
      </c>
    </row>
    <row r="76" spans="1:6" x14ac:dyDescent="0.2">
      <c r="A76">
        <v>23493</v>
      </c>
      <c r="B76" t="s">
        <v>19</v>
      </c>
      <c r="C76">
        <v>0</v>
      </c>
      <c r="D76" t="s">
        <v>18</v>
      </c>
      <c r="E76" s="10">
        <v>1435</v>
      </c>
      <c r="F76" t="s">
        <v>20</v>
      </c>
    </row>
    <row r="77" spans="1:6" x14ac:dyDescent="0.2">
      <c r="A77">
        <v>23617</v>
      </c>
      <c r="B77" t="s">
        <v>21</v>
      </c>
      <c r="C77">
        <v>19</v>
      </c>
      <c r="D77" t="s">
        <v>15</v>
      </c>
      <c r="E77" s="10">
        <v>8096</v>
      </c>
      <c r="F77" t="s">
        <v>20</v>
      </c>
    </row>
    <row r="78" spans="1:6" x14ac:dyDescent="0.2">
      <c r="A78">
        <v>23651</v>
      </c>
      <c r="B78" t="s">
        <v>19</v>
      </c>
      <c r="C78">
        <v>3</v>
      </c>
      <c r="D78" t="s">
        <v>18</v>
      </c>
      <c r="E78" s="10">
        <v>1123</v>
      </c>
      <c r="F78" t="s">
        <v>20</v>
      </c>
    </row>
    <row r="79" spans="1:6" x14ac:dyDescent="0.2">
      <c r="A79">
        <v>23915</v>
      </c>
      <c r="B79" t="s">
        <v>14</v>
      </c>
      <c r="C79">
        <v>17</v>
      </c>
      <c r="D79" t="s">
        <v>15</v>
      </c>
      <c r="E79" s="10">
        <v>3678</v>
      </c>
      <c r="F79" t="s">
        <v>20</v>
      </c>
    </row>
    <row r="80" spans="1:6" x14ac:dyDescent="0.2">
      <c r="A80">
        <v>24078</v>
      </c>
      <c r="B80" t="s">
        <v>14</v>
      </c>
      <c r="C80">
        <v>16</v>
      </c>
      <c r="D80" t="s">
        <v>18</v>
      </c>
      <c r="E80" s="10">
        <v>1740</v>
      </c>
      <c r="F80" t="s">
        <v>20</v>
      </c>
    </row>
    <row r="81" spans="1:6" x14ac:dyDescent="0.2">
      <c r="A81">
        <v>24128</v>
      </c>
      <c r="B81" t="s">
        <v>21</v>
      </c>
      <c r="C81">
        <v>21</v>
      </c>
      <c r="D81" t="s">
        <v>15</v>
      </c>
      <c r="E81" s="10">
        <v>15176</v>
      </c>
      <c r="F81" t="s">
        <v>20</v>
      </c>
    </row>
    <row r="82" spans="1:6" x14ac:dyDescent="0.2">
      <c r="A82">
        <v>24341</v>
      </c>
      <c r="B82" t="s">
        <v>26</v>
      </c>
      <c r="C82">
        <v>9</v>
      </c>
      <c r="D82" t="s">
        <v>15</v>
      </c>
      <c r="E82" s="10">
        <v>1963</v>
      </c>
      <c r="F82" t="s">
        <v>20</v>
      </c>
    </row>
    <row r="83" spans="1:6" hidden="1" x14ac:dyDescent="0.2">
      <c r="A83">
        <v>18223</v>
      </c>
      <c r="B83" t="s">
        <v>26</v>
      </c>
      <c r="C83">
        <v>9</v>
      </c>
      <c r="D83" t="s">
        <v>15</v>
      </c>
      <c r="E83">
        <v>2471</v>
      </c>
      <c r="F83" t="s">
        <v>24</v>
      </c>
    </row>
    <row r="84" spans="1:6" x14ac:dyDescent="0.2">
      <c r="A84">
        <v>24510</v>
      </c>
      <c r="B84" t="s">
        <v>14</v>
      </c>
      <c r="C84">
        <v>15</v>
      </c>
      <c r="D84" t="s">
        <v>18</v>
      </c>
      <c r="E84" s="10">
        <v>4670</v>
      </c>
      <c r="F84" t="s">
        <v>20</v>
      </c>
    </row>
    <row r="85" spans="1:6" x14ac:dyDescent="0.2">
      <c r="A85">
        <v>24617</v>
      </c>
      <c r="B85" t="s">
        <v>14</v>
      </c>
      <c r="C85">
        <v>14</v>
      </c>
      <c r="D85" t="s">
        <v>18</v>
      </c>
      <c r="E85" s="10">
        <v>3394</v>
      </c>
      <c r="F85" t="s">
        <v>20</v>
      </c>
    </row>
    <row r="86" spans="1:6" hidden="1" x14ac:dyDescent="0.2">
      <c r="A86">
        <v>18383</v>
      </c>
      <c r="B86" t="s">
        <v>19</v>
      </c>
      <c r="C86">
        <v>0</v>
      </c>
      <c r="D86" t="s">
        <v>18</v>
      </c>
      <c r="E86">
        <v>1149</v>
      </c>
      <c r="F86" t="s">
        <v>23</v>
      </c>
    </row>
    <row r="87" spans="1:6" x14ac:dyDescent="0.2">
      <c r="A87">
        <v>24635</v>
      </c>
      <c r="B87" t="s">
        <v>19</v>
      </c>
      <c r="C87">
        <v>0</v>
      </c>
      <c r="D87" t="s">
        <v>15</v>
      </c>
      <c r="E87" s="10">
        <v>995</v>
      </c>
      <c r="F87" t="s">
        <v>20</v>
      </c>
    </row>
    <row r="88" spans="1:6" x14ac:dyDescent="0.2">
      <c r="A88">
        <v>24850</v>
      </c>
      <c r="B88" t="s">
        <v>21</v>
      </c>
      <c r="C88">
        <v>21</v>
      </c>
      <c r="D88" t="s">
        <v>15</v>
      </c>
      <c r="E88" s="10">
        <v>16237</v>
      </c>
      <c r="F88" t="s">
        <v>20</v>
      </c>
    </row>
    <row r="89" spans="1:6" hidden="1" x14ac:dyDescent="0.2">
      <c r="A89">
        <v>18492</v>
      </c>
      <c r="B89" t="s">
        <v>21</v>
      </c>
      <c r="C89">
        <v>18</v>
      </c>
      <c r="D89" t="s">
        <v>15</v>
      </c>
      <c r="E89">
        <v>8730</v>
      </c>
      <c r="F89" t="s">
        <v>22</v>
      </c>
    </row>
    <row r="90" spans="1:6" hidden="1" x14ac:dyDescent="0.2">
      <c r="A90">
        <v>18655</v>
      </c>
      <c r="B90" t="s">
        <v>17</v>
      </c>
      <c r="C90">
        <v>28</v>
      </c>
      <c r="D90" t="s">
        <v>18</v>
      </c>
      <c r="E90">
        <v>37247</v>
      </c>
      <c r="F90" t="s">
        <v>22</v>
      </c>
    </row>
    <row r="91" spans="1:6" x14ac:dyDescent="0.2">
      <c r="A91">
        <v>25000</v>
      </c>
      <c r="B91" t="s">
        <v>21</v>
      </c>
      <c r="C91">
        <v>21</v>
      </c>
      <c r="D91" t="s">
        <v>18</v>
      </c>
      <c r="E91" s="10">
        <v>9592</v>
      </c>
      <c r="F91" t="s">
        <v>20</v>
      </c>
    </row>
    <row r="92" spans="1:6" x14ac:dyDescent="0.2">
      <c r="A92">
        <v>25300</v>
      </c>
      <c r="B92" t="s">
        <v>26</v>
      </c>
      <c r="C92">
        <v>6</v>
      </c>
      <c r="D92" t="s">
        <v>15</v>
      </c>
      <c r="E92" s="10">
        <v>2119</v>
      </c>
      <c r="F92" t="s">
        <v>20</v>
      </c>
    </row>
    <row r="93" spans="1:6" x14ac:dyDescent="0.2">
      <c r="A93">
        <v>25370</v>
      </c>
      <c r="B93" t="s">
        <v>21</v>
      </c>
      <c r="C93">
        <v>19</v>
      </c>
      <c r="D93" t="s">
        <v>15</v>
      </c>
      <c r="E93" s="10">
        <v>10292</v>
      </c>
      <c r="F93" t="s">
        <v>20</v>
      </c>
    </row>
    <row r="94" spans="1:6" hidden="1" x14ac:dyDescent="0.2">
      <c r="A94">
        <v>18867</v>
      </c>
      <c r="B94" t="s">
        <v>25</v>
      </c>
      <c r="C94">
        <v>66</v>
      </c>
      <c r="D94" t="s">
        <v>15</v>
      </c>
      <c r="E94">
        <v>49851</v>
      </c>
      <c r="F94" t="s">
        <v>24</v>
      </c>
    </row>
    <row r="95" spans="1:6" x14ac:dyDescent="0.2">
      <c r="A95">
        <v>25457</v>
      </c>
      <c r="B95" t="s">
        <v>14</v>
      </c>
      <c r="C95">
        <v>16</v>
      </c>
      <c r="D95" t="s">
        <v>15</v>
      </c>
      <c r="E95" s="10">
        <v>3501</v>
      </c>
      <c r="F95" t="s">
        <v>20</v>
      </c>
    </row>
    <row r="96" spans="1:6" x14ac:dyDescent="0.2">
      <c r="A96">
        <v>25613</v>
      </c>
      <c r="B96" t="s">
        <v>19</v>
      </c>
      <c r="C96">
        <v>0</v>
      </c>
      <c r="D96" t="s">
        <v>18</v>
      </c>
      <c r="E96" s="10">
        <v>741</v>
      </c>
      <c r="F96" t="s">
        <v>20</v>
      </c>
    </row>
    <row r="97" spans="1:6" x14ac:dyDescent="0.2">
      <c r="A97">
        <v>25765</v>
      </c>
      <c r="B97" t="s">
        <v>19</v>
      </c>
      <c r="C97">
        <v>4</v>
      </c>
      <c r="D97" t="s">
        <v>18</v>
      </c>
      <c r="E97" s="10">
        <v>1016</v>
      </c>
      <c r="F97" t="s">
        <v>20</v>
      </c>
    </row>
    <row r="98" spans="1:6" hidden="1" x14ac:dyDescent="0.2">
      <c r="A98">
        <v>19148</v>
      </c>
      <c r="B98" t="s">
        <v>14</v>
      </c>
      <c r="C98">
        <v>13</v>
      </c>
      <c r="D98" t="s">
        <v>15</v>
      </c>
      <c r="E98">
        <v>5324</v>
      </c>
      <c r="F98" t="s">
        <v>22</v>
      </c>
    </row>
    <row r="99" spans="1:6" hidden="1" x14ac:dyDescent="0.2">
      <c r="A99">
        <v>19228</v>
      </c>
      <c r="B99" t="s">
        <v>17</v>
      </c>
      <c r="C99">
        <v>22</v>
      </c>
      <c r="D99" t="s">
        <v>18</v>
      </c>
      <c r="E99">
        <v>46513</v>
      </c>
      <c r="F99" t="s">
        <v>22</v>
      </c>
    </row>
    <row r="100" spans="1:6" x14ac:dyDescent="0.2">
      <c r="A100">
        <v>26071</v>
      </c>
      <c r="B100" t="s">
        <v>26</v>
      </c>
      <c r="C100">
        <v>6</v>
      </c>
      <c r="D100" t="s">
        <v>15</v>
      </c>
      <c r="E100" s="10">
        <v>1582</v>
      </c>
      <c r="F100" t="s">
        <v>20</v>
      </c>
    </row>
    <row r="101" spans="1:6" x14ac:dyDescent="0.2">
      <c r="A101">
        <v>26423</v>
      </c>
      <c r="B101" t="s">
        <v>14</v>
      </c>
      <c r="C101">
        <v>17</v>
      </c>
      <c r="D101" t="s">
        <v>18</v>
      </c>
      <c r="E101" s="10">
        <v>4723</v>
      </c>
      <c r="F101" t="s">
        <v>20</v>
      </c>
    </row>
    <row r="102" spans="1:6" x14ac:dyDescent="0.2">
      <c r="A102">
        <v>26427</v>
      </c>
      <c r="B102" t="s">
        <v>14</v>
      </c>
      <c r="C102">
        <v>13</v>
      </c>
      <c r="D102" t="s">
        <v>18</v>
      </c>
      <c r="E102" s="10">
        <v>2460</v>
      </c>
      <c r="F102" t="s">
        <v>20</v>
      </c>
    </row>
    <row r="103" spans="1:6" x14ac:dyDescent="0.2">
      <c r="A103">
        <v>26457</v>
      </c>
      <c r="B103" t="s">
        <v>14</v>
      </c>
      <c r="C103">
        <v>16</v>
      </c>
      <c r="D103" t="s">
        <v>15</v>
      </c>
      <c r="E103" s="10">
        <v>5718</v>
      </c>
      <c r="F103" t="s">
        <v>20</v>
      </c>
    </row>
    <row r="104" spans="1:6" hidden="1" x14ac:dyDescent="0.2">
      <c r="A104">
        <v>19373</v>
      </c>
      <c r="B104" t="s">
        <v>26</v>
      </c>
      <c r="C104">
        <v>6</v>
      </c>
      <c r="D104" t="s">
        <v>15</v>
      </c>
      <c r="E104">
        <v>1814</v>
      </c>
      <c r="F104" t="s">
        <v>24</v>
      </c>
    </row>
    <row r="105" spans="1:6" x14ac:dyDescent="0.2">
      <c r="A105">
        <v>27031</v>
      </c>
      <c r="B105" t="s">
        <v>19</v>
      </c>
      <c r="C105">
        <v>4</v>
      </c>
      <c r="D105" t="s">
        <v>18</v>
      </c>
      <c r="E105" s="10">
        <v>1028</v>
      </c>
      <c r="F105" t="s">
        <v>20</v>
      </c>
    </row>
    <row r="106" spans="1:6" x14ac:dyDescent="0.2">
      <c r="A106">
        <v>27150</v>
      </c>
      <c r="B106" t="s">
        <v>26</v>
      </c>
      <c r="C106">
        <v>12</v>
      </c>
      <c r="D106" t="s">
        <v>15</v>
      </c>
      <c r="E106" s="10">
        <v>3141</v>
      </c>
      <c r="F106" t="s">
        <v>20</v>
      </c>
    </row>
    <row r="107" spans="1:6" x14ac:dyDescent="0.2">
      <c r="A107">
        <v>27484</v>
      </c>
      <c r="B107" t="s">
        <v>26</v>
      </c>
      <c r="C107">
        <v>11</v>
      </c>
      <c r="D107" t="s">
        <v>18</v>
      </c>
      <c r="E107" s="10">
        <v>3585</v>
      </c>
      <c r="F107" t="s">
        <v>20</v>
      </c>
    </row>
    <row r="108" spans="1:6" x14ac:dyDescent="0.2">
      <c r="A108">
        <v>27547</v>
      </c>
      <c r="B108" t="s">
        <v>26</v>
      </c>
      <c r="C108">
        <v>7</v>
      </c>
      <c r="D108" t="s">
        <v>15</v>
      </c>
      <c r="E108" s="10">
        <v>2039</v>
      </c>
      <c r="F108" t="s">
        <v>20</v>
      </c>
    </row>
    <row r="109" spans="1:6" x14ac:dyDescent="0.2">
      <c r="A109">
        <v>27921</v>
      </c>
      <c r="B109" t="s">
        <v>17</v>
      </c>
      <c r="C109">
        <v>22</v>
      </c>
      <c r="D109" t="s">
        <v>15</v>
      </c>
      <c r="E109" s="10">
        <v>43858</v>
      </c>
      <c r="F109" t="s">
        <v>20</v>
      </c>
    </row>
    <row r="110" spans="1:6" x14ac:dyDescent="0.2">
      <c r="A110">
        <v>28013</v>
      </c>
      <c r="B110" t="s">
        <v>19</v>
      </c>
      <c r="C110">
        <v>1</v>
      </c>
      <c r="D110" t="s">
        <v>18</v>
      </c>
      <c r="E110" s="10">
        <v>762</v>
      </c>
      <c r="F110" t="s">
        <v>20</v>
      </c>
    </row>
    <row r="111" spans="1:6" x14ac:dyDescent="0.2">
      <c r="A111">
        <v>28066</v>
      </c>
      <c r="B111" t="s">
        <v>21</v>
      </c>
      <c r="C111">
        <v>20</v>
      </c>
      <c r="D111" t="s">
        <v>18</v>
      </c>
      <c r="E111" s="10">
        <v>7081</v>
      </c>
      <c r="F111" t="s">
        <v>20</v>
      </c>
    </row>
    <row r="112" spans="1:6" x14ac:dyDescent="0.2">
      <c r="A112">
        <v>28083</v>
      </c>
      <c r="B112" t="s">
        <v>19</v>
      </c>
      <c r="C112">
        <v>5</v>
      </c>
      <c r="D112" t="s">
        <v>15</v>
      </c>
      <c r="E112" s="10">
        <v>2291</v>
      </c>
      <c r="F112" t="s">
        <v>20</v>
      </c>
    </row>
    <row r="113" spans="1:6" x14ac:dyDescent="0.2">
      <c r="A113">
        <v>28189</v>
      </c>
      <c r="B113" t="s">
        <v>19</v>
      </c>
      <c r="C113">
        <v>4</v>
      </c>
      <c r="D113" t="s">
        <v>18</v>
      </c>
      <c r="E113" s="10">
        <v>2359</v>
      </c>
      <c r="F113" t="s">
        <v>20</v>
      </c>
    </row>
    <row r="114" spans="1:6" x14ac:dyDescent="0.2">
      <c r="A114">
        <v>28384</v>
      </c>
      <c r="B114" t="s">
        <v>17</v>
      </c>
      <c r="C114">
        <v>33</v>
      </c>
      <c r="D114" t="s">
        <v>15</v>
      </c>
      <c r="E114" s="10">
        <v>40809</v>
      </c>
      <c r="F114" t="s">
        <v>20</v>
      </c>
    </row>
    <row r="115" spans="1:6" x14ac:dyDescent="0.2">
      <c r="A115">
        <v>28469</v>
      </c>
      <c r="B115" t="s">
        <v>19</v>
      </c>
      <c r="C115">
        <v>4</v>
      </c>
      <c r="D115" t="s">
        <v>18</v>
      </c>
      <c r="E115" s="10">
        <v>2211</v>
      </c>
      <c r="F115" t="s">
        <v>20</v>
      </c>
    </row>
    <row r="116" spans="1:6" x14ac:dyDescent="0.2">
      <c r="A116">
        <v>28502</v>
      </c>
      <c r="B116" t="s">
        <v>21</v>
      </c>
      <c r="C116">
        <v>19</v>
      </c>
      <c r="D116" t="s">
        <v>18</v>
      </c>
      <c r="E116" s="10">
        <v>11527</v>
      </c>
      <c r="F116" t="s">
        <v>20</v>
      </c>
    </row>
    <row r="117" spans="1:6" x14ac:dyDescent="0.2">
      <c r="A117">
        <v>28514</v>
      </c>
      <c r="B117" t="s">
        <v>14</v>
      </c>
      <c r="C117">
        <v>15</v>
      </c>
      <c r="D117" t="s">
        <v>15</v>
      </c>
      <c r="E117" s="10">
        <v>3959</v>
      </c>
      <c r="F117" t="s">
        <v>20</v>
      </c>
    </row>
    <row r="118" spans="1:6" x14ac:dyDescent="0.2">
      <c r="A118">
        <v>28948</v>
      </c>
      <c r="B118" t="s">
        <v>19</v>
      </c>
      <c r="C118">
        <v>1</v>
      </c>
      <c r="D118" t="s">
        <v>18</v>
      </c>
      <c r="E118" s="10">
        <v>966</v>
      </c>
      <c r="F118" t="s">
        <v>20</v>
      </c>
    </row>
    <row r="119" spans="1:6" x14ac:dyDescent="0.2">
      <c r="A119">
        <v>29038</v>
      </c>
      <c r="B119" t="s">
        <v>21</v>
      </c>
      <c r="C119">
        <v>21</v>
      </c>
      <c r="D119" t="s">
        <v>18</v>
      </c>
      <c r="E119" s="10">
        <v>7339</v>
      </c>
      <c r="F119" t="s">
        <v>20</v>
      </c>
    </row>
    <row r="120" spans="1:6" x14ac:dyDescent="0.2">
      <c r="A120">
        <v>29411</v>
      </c>
      <c r="B120" t="s">
        <v>26</v>
      </c>
      <c r="C120">
        <v>8</v>
      </c>
      <c r="D120" t="s">
        <v>15</v>
      </c>
      <c r="E120" s="10">
        <v>3378</v>
      </c>
      <c r="F120" t="s">
        <v>20</v>
      </c>
    </row>
    <row r="121" spans="1:6" x14ac:dyDescent="0.2">
      <c r="A121">
        <v>29458</v>
      </c>
      <c r="B121" t="s">
        <v>14</v>
      </c>
      <c r="C121">
        <v>17</v>
      </c>
      <c r="D121" t="s">
        <v>18</v>
      </c>
      <c r="E121" s="10">
        <v>4513</v>
      </c>
      <c r="F121" t="s">
        <v>20</v>
      </c>
    </row>
    <row r="122" spans="1:6" x14ac:dyDescent="0.2">
      <c r="A122">
        <v>29840</v>
      </c>
      <c r="B122" t="s">
        <v>26</v>
      </c>
      <c r="C122">
        <v>7</v>
      </c>
      <c r="D122" t="s">
        <v>15</v>
      </c>
      <c r="E122" s="10">
        <v>1473</v>
      </c>
      <c r="F122" t="s">
        <v>20</v>
      </c>
    </row>
    <row r="123" spans="1:6" x14ac:dyDescent="0.2">
      <c r="A123">
        <v>29885</v>
      </c>
      <c r="B123" t="s">
        <v>14</v>
      </c>
      <c r="C123">
        <v>16</v>
      </c>
      <c r="D123" t="s">
        <v>18</v>
      </c>
      <c r="E123" s="10">
        <v>4112</v>
      </c>
      <c r="F123" t="s">
        <v>20</v>
      </c>
    </row>
    <row r="124" spans="1:6" hidden="1" x14ac:dyDescent="0.2">
      <c r="A124">
        <v>20984</v>
      </c>
      <c r="B124" t="s">
        <v>21</v>
      </c>
      <c r="C124">
        <v>18</v>
      </c>
      <c r="D124" t="s">
        <v>18</v>
      </c>
      <c r="E124">
        <v>4814</v>
      </c>
      <c r="F124" t="s">
        <v>22</v>
      </c>
    </row>
    <row r="125" spans="1:6" x14ac:dyDescent="0.2">
      <c r="A125">
        <v>30012</v>
      </c>
      <c r="B125" t="s">
        <v>14</v>
      </c>
      <c r="C125">
        <v>14</v>
      </c>
      <c r="D125" t="s">
        <v>18</v>
      </c>
      <c r="E125" s="10">
        <v>4653</v>
      </c>
      <c r="F125" t="s">
        <v>20</v>
      </c>
    </row>
    <row r="126" spans="1:6" x14ac:dyDescent="0.2">
      <c r="A126">
        <v>30438</v>
      </c>
      <c r="B126" t="s">
        <v>21</v>
      </c>
      <c r="C126">
        <v>19</v>
      </c>
      <c r="D126" t="s">
        <v>15</v>
      </c>
      <c r="E126" s="10">
        <v>7667</v>
      </c>
      <c r="F126" t="s">
        <v>20</v>
      </c>
    </row>
    <row r="127" spans="1:6" x14ac:dyDescent="0.2">
      <c r="A127">
        <v>30481</v>
      </c>
      <c r="B127" t="s">
        <v>21</v>
      </c>
      <c r="C127">
        <v>20</v>
      </c>
      <c r="D127" t="s">
        <v>18</v>
      </c>
      <c r="E127" s="10">
        <v>12587</v>
      </c>
      <c r="F127" t="s">
        <v>20</v>
      </c>
    </row>
    <row r="128" spans="1:6" hidden="1" x14ac:dyDescent="0.2">
      <c r="A128">
        <v>21296</v>
      </c>
      <c r="B128" t="s">
        <v>21</v>
      </c>
      <c r="C128">
        <v>21</v>
      </c>
      <c r="D128" t="s">
        <v>18</v>
      </c>
      <c r="E128">
        <v>3988</v>
      </c>
      <c r="F128" t="s">
        <v>24</v>
      </c>
    </row>
    <row r="129" spans="1:6" x14ac:dyDescent="0.2">
      <c r="A129">
        <v>30689</v>
      </c>
      <c r="B129" t="s">
        <v>19</v>
      </c>
      <c r="C129">
        <v>3</v>
      </c>
      <c r="D129" t="s">
        <v>18</v>
      </c>
      <c r="E129" s="10">
        <v>668</v>
      </c>
      <c r="F129" t="s">
        <v>20</v>
      </c>
    </row>
    <row r="130" spans="1:6" x14ac:dyDescent="0.2">
      <c r="A130">
        <v>30780</v>
      </c>
      <c r="B130" t="s">
        <v>21</v>
      </c>
      <c r="C130">
        <v>20</v>
      </c>
      <c r="D130" t="s">
        <v>15</v>
      </c>
      <c r="E130" s="10">
        <v>6218</v>
      </c>
      <c r="F130" t="s">
        <v>20</v>
      </c>
    </row>
    <row r="131" spans="1:6" x14ac:dyDescent="0.2">
      <c r="A131">
        <v>30909</v>
      </c>
      <c r="B131" t="s">
        <v>14</v>
      </c>
      <c r="C131">
        <v>17</v>
      </c>
      <c r="D131" t="s">
        <v>18</v>
      </c>
      <c r="E131" s="10">
        <v>2015</v>
      </c>
      <c r="F131" t="s">
        <v>20</v>
      </c>
    </row>
    <row r="132" spans="1:6" x14ac:dyDescent="0.2">
      <c r="A132">
        <v>31063</v>
      </c>
      <c r="B132" t="s">
        <v>21</v>
      </c>
      <c r="C132">
        <v>21</v>
      </c>
      <c r="D132" t="s">
        <v>18</v>
      </c>
      <c r="E132" s="10">
        <v>8948</v>
      </c>
      <c r="F132" t="s">
        <v>20</v>
      </c>
    </row>
    <row r="133" spans="1:6" x14ac:dyDescent="0.2">
      <c r="A133">
        <v>31277</v>
      </c>
      <c r="B133" t="s">
        <v>19</v>
      </c>
      <c r="C133">
        <v>2</v>
      </c>
      <c r="D133" t="s">
        <v>18</v>
      </c>
      <c r="E133" s="10">
        <v>561</v>
      </c>
      <c r="F133" t="s">
        <v>20</v>
      </c>
    </row>
    <row r="134" spans="1:6" hidden="1" x14ac:dyDescent="0.2">
      <c r="A134">
        <v>21742</v>
      </c>
      <c r="B134" t="s">
        <v>21</v>
      </c>
      <c r="C134">
        <v>20</v>
      </c>
      <c r="D134" t="s">
        <v>15</v>
      </c>
      <c r="E134">
        <v>10696</v>
      </c>
      <c r="F134" t="s">
        <v>24</v>
      </c>
    </row>
    <row r="135" spans="1:6" x14ac:dyDescent="0.2">
      <c r="A135">
        <v>31437</v>
      </c>
      <c r="B135" t="s">
        <v>25</v>
      </c>
      <c r="C135">
        <v>70</v>
      </c>
      <c r="D135" t="s">
        <v>15</v>
      </c>
      <c r="E135" s="10">
        <v>59622</v>
      </c>
      <c r="F135" t="s">
        <v>20</v>
      </c>
    </row>
    <row r="136" spans="1:6" x14ac:dyDescent="0.2">
      <c r="A136">
        <v>31910</v>
      </c>
      <c r="B136" t="s">
        <v>14</v>
      </c>
      <c r="C136">
        <v>17</v>
      </c>
      <c r="D136" t="s">
        <v>15</v>
      </c>
      <c r="E136" s="10">
        <v>4921</v>
      </c>
      <c r="F136" t="s">
        <v>20</v>
      </c>
    </row>
    <row r="137" spans="1:6" x14ac:dyDescent="0.2">
      <c r="A137">
        <v>31973</v>
      </c>
      <c r="B137" t="s">
        <v>17</v>
      </c>
      <c r="C137">
        <v>38</v>
      </c>
      <c r="D137" t="s">
        <v>15</v>
      </c>
      <c r="E137" s="10">
        <v>35088</v>
      </c>
      <c r="F137" t="s">
        <v>20</v>
      </c>
    </row>
    <row r="138" spans="1:6" x14ac:dyDescent="0.2">
      <c r="A138">
        <v>32398</v>
      </c>
      <c r="B138" t="s">
        <v>26</v>
      </c>
      <c r="C138">
        <v>11</v>
      </c>
      <c r="D138" t="s">
        <v>18</v>
      </c>
      <c r="E138" s="10">
        <v>1084</v>
      </c>
      <c r="F138" t="s">
        <v>20</v>
      </c>
    </row>
    <row r="139" spans="1:6" x14ac:dyDescent="0.2">
      <c r="A139">
        <v>33032</v>
      </c>
      <c r="B139" t="s">
        <v>26</v>
      </c>
      <c r="C139">
        <v>11</v>
      </c>
      <c r="D139" t="s">
        <v>15</v>
      </c>
      <c r="E139" s="10">
        <v>3695</v>
      </c>
      <c r="F139" t="s">
        <v>20</v>
      </c>
    </row>
    <row r="140" spans="1:6" x14ac:dyDescent="0.2">
      <c r="A140">
        <v>33509</v>
      </c>
      <c r="B140" t="s">
        <v>19</v>
      </c>
      <c r="C140">
        <v>1</v>
      </c>
      <c r="D140" t="s">
        <v>15</v>
      </c>
      <c r="E140" s="10">
        <v>1767</v>
      </c>
      <c r="F140" t="s">
        <v>20</v>
      </c>
    </row>
    <row r="141" spans="1:6" x14ac:dyDescent="0.2">
      <c r="A141">
        <v>34821</v>
      </c>
      <c r="B141" t="s">
        <v>17</v>
      </c>
      <c r="C141">
        <v>26</v>
      </c>
      <c r="D141" t="s">
        <v>15</v>
      </c>
      <c r="E141" s="10">
        <v>36738</v>
      </c>
      <c r="F141" t="s">
        <v>20</v>
      </c>
    </row>
    <row r="142" spans="1:6" x14ac:dyDescent="0.2">
      <c r="A142">
        <v>34997</v>
      </c>
      <c r="B142" t="s">
        <v>25</v>
      </c>
      <c r="C142">
        <v>68</v>
      </c>
      <c r="D142" t="s">
        <v>18</v>
      </c>
      <c r="E142" s="10">
        <v>49502</v>
      </c>
      <c r="F142" t="s">
        <v>20</v>
      </c>
    </row>
    <row r="143" spans="1:6" x14ac:dyDescent="0.2">
      <c r="A143">
        <v>35503</v>
      </c>
      <c r="B143" t="s">
        <v>14</v>
      </c>
      <c r="C143">
        <v>13</v>
      </c>
      <c r="D143" t="s">
        <v>18</v>
      </c>
      <c r="E143" s="10">
        <v>3522</v>
      </c>
      <c r="F143" t="s">
        <v>20</v>
      </c>
    </row>
    <row r="144" spans="1:6" x14ac:dyDescent="0.2">
      <c r="A144">
        <v>35590</v>
      </c>
      <c r="B144" t="s">
        <v>26</v>
      </c>
      <c r="C144">
        <v>8</v>
      </c>
      <c r="D144" t="s">
        <v>18</v>
      </c>
      <c r="E144" s="10">
        <v>2776</v>
      </c>
      <c r="F144" t="s">
        <v>20</v>
      </c>
    </row>
    <row r="145" spans="1:6" x14ac:dyDescent="0.2">
      <c r="A145">
        <v>35656</v>
      </c>
      <c r="B145" t="s">
        <v>21</v>
      </c>
      <c r="C145">
        <v>21</v>
      </c>
      <c r="D145" t="s">
        <v>18</v>
      </c>
      <c r="E145" s="10">
        <v>10150</v>
      </c>
      <c r="F145" t="s">
        <v>20</v>
      </c>
    </row>
    <row r="146" spans="1:6" x14ac:dyDescent="0.2">
      <c r="A146">
        <v>35684</v>
      </c>
      <c r="B146" t="s">
        <v>21</v>
      </c>
      <c r="C146">
        <v>20</v>
      </c>
      <c r="D146" t="s">
        <v>15</v>
      </c>
      <c r="E146" s="10">
        <v>7605</v>
      </c>
      <c r="F146" t="s">
        <v>20</v>
      </c>
    </row>
    <row r="147" spans="1:6" hidden="1" x14ac:dyDescent="0.2">
      <c r="A147">
        <v>22988</v>
      </c>
      <c r="B147" t="s">
        <v>14</v>
      </c>
      <c r="C147">
        <v>16</v>
      </c>
      <c r="D147" t="s">
        <v>18</v>
      </c>
      <c r="E147">
        <v>4664</v>
      </c>
      <c r="F147" t="s">
        <v>23</v>
      </c>
    </row>
    <row r="148" spans="1:6" x14ac:dyDescent="0.2">
      <c r="A148">
        <v>35799</v>
      </c>
      <c r="B148" t="s">
        <v>26</v>
      </c>
      <c r="C148">
        <v>8</v>
      </c>
      <c r="D148" t="s">
        <v>18</v>
      </c>
      <c r="E148" s="10">
        <v>2954</v>
      </c>
      <c r="F148" t="s">
        <v>20</v>
      </c>
    </row>
    <row r="149" spans="1:6" hidden="1" x14ac:dyDescent="0.2">
      <c r="A149">
        <v>23450</v>
      </c>
      <c r="B149" t="s">
        <v>14</v>
      </c>
      <c r="C149">
        <v>16</v>
      </c>
      <c r="D149" t="s">
        <v>15</v>
      </c>
      <c r="E149">
        <v>1432</v>
      </c>
      <c r="F149" t="s">
        <v>24</v>
      </c>
    </row>
    <row r="150" spans="1:6" x14ac:dyDescent="0.2">
      <c r="A150">
        <v>36576</v>
      </c>
      <c r="B150" t="s">
        <v>17</v>
      </c>
      <c r="C150">
        <v>27</v>
      </c>
      <c r="D150" t="s">
        <v>15</v>
      </c>
      <c r="E150" s="10">
        <v>38031</v>
      </c>
      <c r="F150" t="s">
        <v>20</v>
      </c>
    </row>
    <row r="151" spans="1:6" x14ac:dyDescent="0.2">
      <c r="A151">
        <v>36802</v>
      </c>
      <c r="B151" t="s">
        <v>26</v>
      </c>
      <c r="C151">
        <v>6</v>
      </c>
      <c r="D151" t="s">
        <v>18</v>
      </c>
      <c r="E151" s="10">
        <v>1173</v>
      </c>
      <c r="F151" t="s">
        <v>20</v>
      </c>
    </row>
    <row r="152" spans="1:6" hidden="1" x14ac:dyDescent="0.2">
      <c r="A152">
        <v>23559</v>
      </c>
      <c r="B152" t="s">
        <v>21</v>
      </c>
      <c r="C152">
        <v>20</v>
      </c>
      <c r="D152" t="s">
        <v>18</v>
      </c>
      <c r="E152">
        <v>8687</v>
      </c>
      <c r="F152" t="s">
        <v>22</v>
      </c>
    </row>
    <row r="153" spans="1:6" x14ac:dyDescent="0.2">
      <c r="A153">
        <v>37075</v>
      </c>
      <c r="B153" t="s">
        <v>21</v>
      </c>
      <c r="C153">
        <v>21</v>
      </c>
      <c r="D153" t="s">
        <v>15</v>
      </c>
      <c r="E153" s="10">
        <v>12083</v>
      </c>
      <c r="F153" t="s">
        <v>20</v>
      </c>
    </row>
    <row r="154" spans="1:6" x14ac:dyDescent="0.2">
      <c r="A154">
        <v>37297</v>
      </c>
      <c r="B154" t="s">
        <v>14</v>
      </c>
      <c r="C154">
        <v>15</v>
      </c>
      <c r="D154" t="s">
        <v>18</v>
      </c>
      <c r="E154" s="10">
        <v>4533</v>
      </c>
      <c r="F154" t="s">
        <v>20</v>
      </c>
    </row>
    <row r="155" spans="1:6" hidden="1" x14ac:dyDescent="0.2">
      <c r="A155">
        <v>23861</v>
      </c>
      <c r="B155" t="s">
        <v>25</v>
      </c>
      <c r="C155">
        <v>77</v>
      </c>
      <c r="D155" t="s">
        <v>15</v>
      </c>
      <c r="E155">
        <v>55015</v>
      </c>
      <c r="F155" t="s">
        <v>24</v>
      </c>
    </row>
    <row r="156" spans="1:6" x14ac:dyDescent="0.2">
      <c r="A156">
        <v>37454</v>
      </c>
      <c r="B156" t="s">
        <v>25</v>
      </c>
      <c r="C156">
        <v>76</v>
      </c>
      <c r="D156" t="s">
        <v>18</v>
      </c>
      <c r="E156" s="10">
        <v>62097</v>
      </c>
      <c r="F156" t="s">
        <v>20</v>
      </c>
    </row>
    <row r="157" spans="1:6" x14ac:dyDescent="0.2">
      <c r="A157">
        <v>37524</v>
      </c>
      <c r="B157" t="s">
        <v>21</v>
      </c>
      <c r="C157">
        <v>18</v>
      </c>
      <c r="D157" t="s">
        <v>18</v>
      </c>
      <c r="E157" s="10">
        <v>11935</v>
      </c>
      <c r="F157" t="s">
        <v>20</v>
      </c>
    </row>
    <row r="158" spans="1:6" x14ac:dyDescent="0.2">
      <c r="A158">
        <v>37694</v>
      </c>
      <c r="B158" t="s">
        <v>21</v>
      </c>
      <c r="C158">
        <v>20</v>
      </c>
      <c r="D158" t="s">
        <v>18</v>
      </c>
      <c r="E158" s="10">
        <v>11034</v>
      </c>
      <c r="F158" t="s">
        <v>20</v>
      </c>
    </row>
    <row r="159" spans="1:6" x14ac:dyDescent="0.2">
      <c r="A159">
        <v>38017</v>
      </c>
      <c r="B159" t="s">
        <v>21</v>
      </c>
      <c r="C159">
        <v>20</v>
      </c>
      <c r="D159" t="s">
        <v>15</v>
      </c>
      <c r="E159" s="10">
        <v>10294</v>
      </c>
      <c r="F159" t="s">
        <v>20</v>
      </c>
    </row>
    <row r="160" spans="1:6" x14ac:dyDescent="0.2">
      <c r="A160">
        <v>39060</v>
      </c>
      <c r="B160" t="s">
        <v>21</v>
      </c>
      <c r="C160">
        <v>18</v>
      </c>
      <c r="D160" t="s">
        <v>15</v>
      </c>
      <c r="E160" s="10">
        <v>16310</v>
      </c>
      <c r="F160" t="s">
        <v>20</v>
      </c>
    </row>
    <row r="161" spans="1:6" x14ac:dyDescent="0.2">
      <c r="A161">
        <v>39134</v>
      </c>
      <c r="B161" t="s">
        <v>26</v>
      </c>
      <c r="C161">
        <v>9</v>
      </c>
      <c r="D161" t="s">
        <v>18</v>
      </c>
      <c r="E161" s="10">
        <v>2490</v>
      </c>
      <c r="F161" t="s">
        <v>20</v>
      </c>
    </row>
    <row r="162" spans="1:6" x14ac:dyDescent="0.2">
      <c r="A162">
        <v>39999</v>
      </c>
      <c r="B162" t="s">
        <v>21</v>
      </c>
      <c r="C162">
        <v>21</v>
      </c>
      <c r="D162" t="s">
        <v>15</v>
      </c>
      <c r="E162" s="10">
        <v>11811</v>
      </c>
      <c r="F162" t="s">
        <v>20</v>
      </c>
    </row>
    <row r="163" spans="1:6" x14ac:dyDescent="0.2">
      <c r="A163">
        <v>40105</v>
      </c>
      <c r="B163" t="s">
        <v>14</v>
      </c>
      <c r="C163">
        <v>17</v>
      </c>
      <c r="D163" t="s">
        <v>18</v>
      </c>
      <c r="E163" s="10">
        <v>3945</v>
      </c>
      <c r="F163" t="s">
        <v>20</v>
      </c>
    </row>
    <row r="164" spans="1:6" x14ac:dyDescent="0.2">
      <c r="A164">
        <v>40277</v>
      </c>
      <c r="B164" t="s">
        <v>26</v>
      </c>
      <c r="C164">
        <v>9</v>
      </c>
      <c r="D164" t="s">
        <v>15</v>
      </c>
      <c r="E164" s="10">
        <v>2781</v>
      </c>
      <c r="F164" t="s">
        <v>20</v>
      </c>
    </row>
    <row r="165" spans="1:6" x14ac:dyDescent="0.2">
      <c r="A165">
        <v>40892</v>
      </c>
      <c r="B165" t="s">
        <v>14</v>
      </c>
      <c r="C165">
        <v>13</v>
      </c>
      <c r="D165" t="s">
        <v>18</v>
      </c>
      <c r="E165" s="10">
        <v>1597</v>
      </c>
      <c r="F165" t="s">
        <v>20</v>
      </c>
    </row>
    <row r="166" spans="1:6" x14ac:dyDescent="0.2">
      <c r="A166">
        <v>40952</v>
      </c>
      <c r="B166" t="s">
        <v>17</v>
      </c>
      <c r="C166">
        <v>25</v>
      </c>
      <c r="D166" t="s">
        <v>15</v>
      </c>
      <c r="E166" s="10">
        <v>48684</v>
      </c>
      <c r="F166" t="s">
        <v>20</v>
      </c>
    </row>
    <row r="167" spans="1:6" x14ac:dyDescent="0.2">
      <c r="A167">
        <v>41850</v>
      </c>
      <c r="B167" t="s">
        <v>14</v>
      </c>
      <c r="C167">
        <v>13</v>
      </c>
      <c r="D167" t="s">
        <v>18</v>
      </c>
      <c r="E167" s="10">
        <v>4975</v>
      </c>
      <c r="F167" t="s">
        <v>20</v>
      </c>
    </row>
    <row r="168" spans="1:6" x14ac:dyDescent="0.2">
      <c r="A168">
        <v>41968</v>
      </c>
      <c r="B168" t="s">
        <v>14</v>
      </c>
      <c r="C168">
        <v>14</v>
      </c>
      <c r="D168" t="s">
        <v>15</v>
      </c>
      <c r="E168" s="10">
        <v>3257</v>
      </c>
      <c r="F168" t="s">
        <v>20</v>
      </c>
    </row>
    <row r="169" spans="1:6" x14ac:dyDescent="0.2">
      <c r="A169">
        <v>42262</v>
      </c>
      <c r="B169" t="s">
        <v>26</v>
      </c>
      <c r="C169">
        <v>6</v>
      </c>
      <c r="D169" t="s">
        <v>18</v>
      </c>
      <c r="E169" s="10">
        <v>2247</v>
      </c>
      <c r="F169" t="s">
        <v>20</v>
      </c>
    </row>
    <row r="170" spans="1:6" x14ac:dyDescent="0.2">
      <c r="A170">
        <v>42489</v>
      </c>
      <c r="B170" t="s">
        <v>26</v>
      </c>
      <c r="C170">
        <v>9</v>
      </c>
      <c r="D170" t="s">
        <v>18</v>
      </c>
      <c r="E170" s="10">
        <v>1758</v>
      </c>
      <c r="F170" t="s">
        <v>20</v>
      </c>
    </row>
    <row r="171" spans="1:6" x14ac:dyDescent="0.2">
      <c r="A171">
        <v>42590</v>
      </c>
      <c r="B171" t="s">
        <v>17</v>
      </c>
      <c r="C171">
        <v>24</v>
      </c>
      <c r="D171" t="s">
        <v>18</v>
      </c>
      <c r="E171" s="10">
        <v>51392</v>
      </c>
      <c r="F171" t="s">
        <v>20</v>
      </c>
    </row>
    <row r="172" spans="1:6" x14ac:dyDescent="0.2">
      <c r="A172">
        <v>42732</v>
      </c>
      <c r="B172" t="s">
        <v>14</v>
      </c>
      <c r="C172">
        <v>17</v>
      </c>
      <c r="D172" t="s">
        <v>15</v>
      </c>
      <c r="E172" s="10">
        <v>4495</v>
      </c>
      <c r="F172" t="s">
        <v>20</v>
      </c>
    </row>
    <row r="173" spans="1:6" x14ac:dyDescent="0.2">
      <c r="A173">
        <v>42804</v>
      </c>
      <c r="B173" t="s">
        <v>14</v>
      </c>
      <c r="C173">
        <v>15</v>
      </c>
      <c r="D173" t="s">
        <v>15</v>
      </c>
      <c r="E173" s="10">
        <v>2744</v>
      </c>
      <c r="F173" t="s">
        <v>20</v>
      </c>
    </row>
    <row r="174" spans="1:6" x14ac:dyDescent="0.2">
      <c r="A174">
        <v>43039</v>
      </c>
      <c r="B174" t="s">
        <v>14</v>
      </c>
      <c r="C174">
        <v>16</v>
      </c>
      <c r="D174" t="s">
        <v>18</v>
      </c>
      <c r="E174" s="10">
        <v>3561</v>
      </c>
      <c r="F174" t="s">
        <v>20</v>
      </c>
    </row>
    <row r="175" spans="1:6" x14ac:dyDescent="0.2">
      <c r="A175">
        <v>43245</v>
      </c>
      <c r="B175" t="s">
        <v>26</v>
      </c>
      <c r="C175">
        <v>11</v>
      </c>
      <c r="D175" t="s">
        <v>15</v>
      </c>
      <c r="E175" s="10">
        <v>2906</v>
      </c>
      <c r="F175" t="s">
        <v>20</v>
      </c>
    </row>
    <row r="176" spans="1:6" x14ac:dyDescent="0.2">
      <c r="A176">
        <v>43478</v>
      </c>
      <c r="B176" t="s">
        <v>14</v>
      </c>
      <c r="C176">
        <v>16</v>
      </c>
      <c r="D176" t="s">
        <v>15</v>
      </c>
      <c r="E176" s="10">
        <v>5637</v>
      </c>
      <c r="F176" t="s">
        <v>20</v>
      </c>
    </row>
    <row r="177" spans="1:6" x14ac:dyDescent="0.2">
      <c r="A177">
        <v>43586</v>
      </c>
      <c r="B177" t="s">
        <v>26</v>
      </c>
      <c r="C177">
        <v>8</v>
      </c>
      <c r="D177" t="s">
        <v>15</v>
      </c>
      <c r="E177" s="10">
        <v>2904</v>
      </c>
      <c r="F177" t="s">
        <v>20</v>
      </c>
    </row>
    <row r="178" spans="1:6" x14ac:dyDescent="0.2">
      <c r="A178">
        <v>43762</v>
      </c>
      <c r="B178" t="s">
        <v>17</v>
      </c>
      <c r="C178">
        <v>28</v>
      </c>
      <c r="D178" t="s">
        <v>15</v>
      </c>
      <c r="E178" s="10">
        <v>39147</v>
      </c>
      <c r="F178" t="s">
        <v>20</v>
      </c>
    </row>
    <row r="179" spans="1:6" x14ac:dyDescent="0.2">
      <c r="A179">
        <v>43984</v>
      </c>
      <c r="B179" t="s">
        <v>21</v>
      </c>
      <c r="C179">
        <v>20</v>
      </c>
      <c r="D179" t="s">
        <v>18</v>
      </c>
      <c r="E179" s="10">
        <v>6397</v>
      </c>
      <c r="F179" t="s">
        <v>20</v>
      </c>
    </row>
    <row r="180" spans="1:6" x14ac:dyDescent="0.2">
      <c r="A180">
        <v>44297</v>
      </c>
      <c r="B180" t="s">
        <v>21</v>
      </c>
      <c r="C180">
        <v>20</v>
      </c>
      <c r="D180" t="s">
        <v>18</v>
      </c>
      <c r="E180" s="10">
        <v>7446</v>
      </c>
      <c r="F180" t="s">
        <v>20</v>
      </c>
    </row>
    <row r="181" spans="1:6" x14ac:dyDescent="0.2">
      <c r="A181">
        <v>44401</v>
      </c>
      <c r="B181" t="s">
        <v>14</v>
      </c>
      <c r="C181">
        <v>17</v>
      </c>
      <c r="D181" t="s">
        <v>18</v>
      </c>
      <c r="E181" s="10">
        <v>5163</v>
      </c>
      <c r="F181" t="s">
        <v>20</v>
      </c>
    </row>
    <row r="182" spans="1:6" x14ac:dyDescent="0.2">
      <c r="A182">
        <v>44451</v>
      </c>
      <c r="B182" t="s">
        <v>25</v>
      </c>
      <c r="C182">
        <v>67</v>
      </c>
      <c r="D182" t="s">
        <v>18</v>
      </c>
      <c r="E182" s="10">
        <v>52243</v>
      </c>
      <c r="F182" t="s">
        <v>20</v>
      </c>
    </row>
    <row r="183" spans="1:6" x14ac:dyDescent="0.2">
      <c r="A183">
        <v>44669</v>
      </c>
      <c r="B183" t="s">
        <v>14</v>
      </c>
      <c r="C183">
        <v>14</v>
      </c>
      <c r="D183" t="s">
        <v>15</v>
      </c>
      <c r="E183" s="10">
        <v>4774</v>
      </c>
      <c r="F183" t="s">
        <v>20</v>
      </c>
    </row>
    <row r="184" spans="1:6" x14ac:dyDescent="0.2">
      <c r="A184">
        <v>45104</v>
      </c>
      <c r="B184" t="s">
        <v>25</v>
      </c>
      <c r="C184">
        <v>52</v>
      </c>
      <c r="D184" t="s">
        <v>18</v>
      </c>
      <c r="E184" s="10">
        <v>51777</v>
      </c>
      <c r="F184" t="s">
        <v>20</v>
      </c>
    </row>
    <row r="185" spans="1:6" x14ac:dyDescent="0.2">
      <c r="A185">
        <v>45468</v>
      </c>
      <c r="B185" t="s">
        <v>14</v>
      </c>
      <c r="C185">
        <v>16</v>
      </c>
      <c r="D185" t="s">
        <v>18</v>
      </c>
      <c r="E185" s="10">
        <v>3141</v>
      </c>
      <c r="F185" t="s">
        <v>20</v>
      </c>
    </row>
    <row r="186" spans="1:6" x14ac:dyDescent="0.2">
      <c r="A186">
        <v>45625</v>
      </c>
      <c r="B186" t="s">
        <v>17</v>
      </c>
      <c r="C186">
        <v>22</v>
      </c>
      <c r="D186" t="s">
        <v>15</v>
      </c>
      <c r="E186" s="10">
        <v>36691</v>
      </c>
      <c r="F186" t="s">
        <v>20</v>
      </c>
    </row>
    <row r="187" spans="1:6" x14ac:dyDescent="0.2">
      <c r="A187">
        <v>45679</v>
      </c>
      <c r="B187" t="s">
        <v>25</v>
      </c>
      <c r="C187">
        <v>73</v>
      </c>
      <c r="D187" t="s">
        <v>18</v>
      </c>
      <c r="E187" s="10">
        <v>53211</v>
      </c>
      <c r="F187" t="s">
        <v>20</v>
      </c>
    </row>
    <row r="188" spans="1:6" x14ac:dyDescent="0.2">
      <c r="A188">
        <v>46389</v>
      </c>
      <c r="B188" t="s">
        <v>14</v>
      </c>
      <c r="C188">
        <v>17</v>
      </c>
      <c r="D188" t="s">
        <v>15</v>
      </c>
      <c r="E188" s="10">
        <v>5040</v>
      </c>
      <c r="F188" t="s">
        <v>20</v>
      </c>
    </row>
    <row r="189" spans="1:6" hidden="1" x14ac:dyDescent="0.2">
      <c r="A189">
        <v>26099</v>
      </c>
      <c r="B189" t="s">
        <v>21</v>
      </c>
      <c r="C189">
        <v>20</v>
      </c>
      <c r="D189" t="s">
        <v>18</v>
      </c>
      <c r="E189">
        <v>13345</v>
      </c>
      <c r="F189" t="s">
        <v>24</v>
      </c>
    </row>
    <row r="190" spans="1:6" x14ac:dyDescent="0.2">
      <c r="A190">
        <v>46628</v>
      </c>
      <c r="B190" t="s">
        <v>26</v>
      </c>
      <c r="C190">
        <v>11</v>
      </c>
      <c r="D190" t="s">
        <v>18</v>
      </c>
      <c r="E190" s="10">
        <v>2167</v>
      </c>
      <c r="F190" t="s">
        <v>20</v>
      </c>
    </row>
    <row r="191" spans="1:6" x14ac:dyDescent="0.2">
      <c r="A191">
        <v>46726</v>
      </c>
      <c r="B191" t="s">
        <v>25</v>
      </c>
      <c r="C191">
        <v>95</v>
      </c>
      <c r="D191" t="s">
        <v>18</v>
      </c>
      <c r="E191" s="10">
        <v>55187</v>
      </c>
      <c r="F191" t="s">
        <v>20</v>
      </c>
    </row>
    <row r="192" spans="1:6" x14ac:dyDescent="0.2">
      <c r="A192">
        <v>47217</v>
      </c>
      <c r="B192" t="s">
        <v>26</v>
      </c>
      <c r="C192">
        <v>7</v>
      </c>
      <c r="D192" t="s">
        <v>15</v>
      </c>
      <c r="E192" s="10">
        <v>2797</v>
      </c>
      <c r="F192" t="s">
        <v>20</v>
      </c>
    </row>
    <row r="193" spans="1:6" hidden="1" x14ac:dyDescent="0.2">
      <c r="A193">
        <v>26437</v>
      </c>
      <c r="B193" t="s">
        <v>19</v>
      </c>
      <c r="C193">
        <v>0</v>
      </c>
      <c r="D193" t="s">
        <v>18</v>
      </c>
      <c r="E193">
        <v>2296</v>
      </c>
      <c r="F193" t="s">
        <v>23</v>
      </c>
    </row>
    <row r="194" spans="1:6" x14ac:dyDescent="0.2">
      <c r="A194">
        <v>47236</v>
      </c>
      <c r="B194" t="s">
        <v>14</v>
      </c>
      <c r="C194">
        <v>16</v>
      </c>
      <c r="D194" t="s">
        <v>18</v>
      </c>
      <c r="E194" s="10">
        <v>4975</v>
      </c>
      <c r="F194" t="s">
        <v>20</v>
      </c>
    </row>
    <row r="195" spans="1:6" hidden="1" x14ac:dyDescent="0.2">
      <c r="A195">
        <v>26648</v>
      </c>
      <c r="B195" t="s">
        <v>21</v>
      </c>
      <c r="C195">
        <v>21</v>
      </c>
      <c r="D195" t="s">
        <v>15</v>
      </c>
      <c r="E195">
        <v>7571</v>
      </c>
      <c r="F195" t="s">
        <v>24</v>
      </c>
    </row>
    <row r="196" spans="1:6" hidden="1" x14ac:dyDescent="0.2">
      <c r="A196">
        <v>27029</v>
      </c>
      <c r="B196" t="s">
        <v>21</v>
      </c>
      <c r="C196">
        <v>18</v>
      </c>
      <c r="D196" t="s">
        <v>18</v>
      </c>
      <c r="E196">
        <v>7207</v>
      </c>
      <c r="F196" t="s">
        <v>24</v>
      </c>
    </row>
    <row r="197" spans="1:6" x14ac:dyDescent="0.2">
      <c r="A197">
        <v>47887</v>
      </c>
      <c r="B197" t="s">
        <v>26</v>
      </c>
      <c r="C197">
        <v>9</v>
      </c>
      <c r="D197" t="s">
        <v>18</v>
      </c>
      <c r="E197" s="10">
        <v>2755</v>
      </c>
      <c r="F197" t="s">
        <v>20</v>
      </c>
    </row>
    <row r="198" spans="1:6" x14ac:dyDescent="0.2">
      <c r="A198">
        <v>48353</v>
      </c>
      <c r="B198" t="s">
        <v>26</v>
      </c>
      <c r="C198">
        <v>9</v>
      </c>
      <c r="D198" t="s">
        <v>15</v>
      </c>
      <c r="E198" s="10">
        <v>2016</v>
      </c>
      <c r="F198" t="s">
        <v>20</v>
      </c>
    </row>
    <row r="199" spans="1:6" x14ac:dyDescent="0.2">
      <c r="A199">
        <v>49026</v>
      </c>
      <c r="B199" t="s">
        <v>14</v>
      </c>
      <c r="C199">
        <v>13</v>
      </c>
      <c r="D199" t="s">
        <v>18</v>
      </c>
      <c r="E199" s="10">
        <v>2810</v>
      </c>
      <c r="F199" t="s">
        <v>20</v>
      </c>
    </row>
    <row r="200" spans="1:6" x14ac:dyDescent="0.2">
      <c r="A200">
        <v>49094</v>
      </c>
      <c r="B200" t="s">
        <v>14</v>
      </c>
      <c r="C200">
        <v>16</v>
      </c>
      <c r="D200" t="s">
        <v>18</v>
      </c>
      <c r="E200" s="10">
        <v>3745</v>
      </c>
      <c r="F200" t="s">
        <v>20</v>
      </c>
    </row>
    <row r="201" spans="1:6" x14ac:dyDescent="0.2">
      <c r="A201">
        <v>49199</v>
      </c>
      <c r="B201" t="s">
        <v>26</v>
      </c>
      <c r="C201">
        <v>10</v>
      </c>
      <c r="D201" t="s">
        <v>15</v>
      </c>
      <c r="E201" s="10">
        <v>2854</v>
      </c>
      <c r="F201" t="s">
        <v>20</v>
      </c>
    </row>
    <row r="202" spans="1:6" x14ac:dyDescent="0.2">
      <c r="A202">
        <v>49285</v>
      </c>
      <c r="B202" t="s">
        <v>19</v>
      </c>
      <c r="C202">
        <v>1</v>
      </c>
      <c r="D202" t="s">
        <v>15</v>
      </c>
      <c r="E202" s="10">
        <v>1592</v>
      </c>
      <c r="F202" t="s">
        <v>20</v>
      </c>
    </row>
    <row r="203" spans="1:6" x14ac:dyDescent="0.2">
      <c r="A203">
        <v>49506</v>
      </c>
      <c r="B203" t="s">
        <v>14</v>
      </c>
      <c r="C203">
        <v>16</v>
      </c>
      <c r="D203" t="s">
        <v>18</v>
      </c>
      <c r="E203" s="10">
        <v>3445</v>
      </c>
      <c r="F203" t="s">
        <v>20</v>
      </c>
    </row>
    <row r="204" spans="1:6" x14ac:dyDescent="0.2">
      <c r="A204">
        <v>49818</v>
      </c>
      <c r="B204" t="s">
        <v>14</v>
      </c>
      <c r="C204">
        <v>16</v>
      </c>
      <c r="D204" t="s">
        <v>15</v>
      </c>
      <c r="E204" s="10">
        <v>4696</v>
      </c>
      <c r="F204" t="s">
        <v>20</v>
      </c>
    </row>
    <row r="205" spans="1:6" x14ac:dyDescent="0.2">
      <c r="A205">
        <v>50112</v>
      </c>
      <c r="B205" t="s">
        <v>26</v>
      </c>
      <c r="C205">
        <v>6</v>
      </c>
      <c r="D205" t="s">
        <v>15</v>
      </c>
      <c r="E205" s="10">
        <v>4163</v>
      </c>
      <c r="F205" t="s">
        <v>20</v>
      </c>
    </row>
    <row r="206" spans="1:6" x14ac:dyDescent="0.2">
      <c r="A206">
        <v>50140</v>
      </c>
      <c r="B206" t="s">
        <v>14</v>
      </c>
      <c r="C206">
        <v>14</v>
      </c>
      <c r="D206" t="s">
        <v>18</v>
      </c>
      <c r="E206" s="10">
        <v>4608</v>
      </c>
      <c r="F206" t="s">
        <v>20</v>
      </c>
    </row>
    <row r="207" spans="1:6" x14ac:dyDescent="0.2">
      <c r="A207">
        <v>50270</v>
      </c>
      <c r="B207" t="s">
        <v>17</v>
      </c>
      <c r="C207">
        <v>25</v>
      </c>
      <c r="D207" t="s">
        <v>18</v>
      </c>
      <c r="E207" s="10">
        <v>46951</v>
      </c>
      <c r="F207" t="s">
        <v>20</v>
      </c>
    </row>
    <row r="208" spans="1:6" x14ac:dyDescent="0.2">
      <c r="A208">
        <v>50478</v>
      </c>
      <c r="B208" t="s">
        <v>26</v>
      </c>
      <c r="C208">
        <v>12</v>
      </c>
      <c r="D208" t="s">
        <v>15</v>
      </c>
      <c r="E208" s="10">
        <v>3562</v>
      </c>
      <c r="F208" t="s">
        <v>20</v>
      </c>
    </row>
    <row r="209" spans="1:6" x14ac:dyDescent="0.2">
      <c r="A209">
        <v>50559</v>
      </c>
      <c r="B209" t="s">
        <v>26</v>
      </c>
      <c r="C209">
        <v>8</v>
      </c>
      <c r="D209" t="s">
        <v>18</v>
      </c>
      <c r="E209" s="10">
        <v>2746</v>
      </c>
      <c r="F209" t="s">
        <v>20</v>
      </c>
    </row>
    <row r="210" spans="1:6" x14ac:dyDescent="0.2">
      <c r="A210">
        <v>50783</v>
      </c>
      <c r="B210" t="s">
        <v>21</v>
      </c>
      <c r="C210">
        <v>21</v>
      </c>
      <c r="D210" t="s">
        <v>15</v>
      </c>
      <c r="E210" s="10">
        <v>8469</v>
      </c>
      <c r="F210" t="s">
        <v>20</v>
      </c>
    </row>
    <row r="211" spans="1:6" x14ac:dyDescent="0.2">
      <c r="A211">
        <v>50989</v>
      </c>
      <c r="B211" t="s">
        <v>14</v>
      </c>
      <c r="C211">
        <v>14</v>
      </c>
      <c r="D211" t="s">
        <v>18</v>
      </c>
      <c r="E211" s="10">
        <v>4219</v>
      </c>
      <c r="F211" t="s">
        <v>20</v>
      </c>
    </row>
    <row r="212" spans="1:6" x14ac:dyDescent="0.2">
      <c r="A212">
        <v>51150</v>
      </c>
      <c r="B212" t="s">
        <v>25</v>
      </c>
      <c r="C212">
        <v>75</v>
      </c>
      <c r="D212" t="s">
        <v>18</v>
      </c>
      <c r="E212" s="10">
        <v>52147</v>
      </c>
      <c r="F212" t="s">
        <v>20</v>
      </c>
    </row>
    <row r="213" spans="1:6" x14ac:dyDescent="0.2">
      <c r="A213">
        <v>51259</v>
      </c>
      <c r="B213" t="s">
        <v>26</v>
      </c>
      <c r="C213">
        <v>11</v>
      </c>
      <c r="D213" t="s">
        <v>15</v>
      </c>
      <c r="E213" s="10">
        <v>1363</v>
      </c>
      <c r="F213" t="s">
        <v>20</v>
      </c>
    </row>
    <row r="214" spans="1:6" x14ac:dyDescent="0.2">
      <c r="A214">
        <v>51290</v>
      </c>
      <c r="B214" t="s">
        <v>14</v>
      </c>
      <c r="C214">
        <v>14</v>
      </c>
      <c r="D214" t="s">
        <v>18</v>
      </c>
      <c r="E214" s="10">
        <v>3113</v>
      </c>
      <c r="F214" t="s">
        <v>20</v>
      </c>
    </row>
    <row r="215" spans="1:6" x14ac:dyDescent="0.2">
      <c r="A215">
        <v>51577</v>
      </c>
      <c r="B215" t="s">
        <v>26</v>
      </c>
      <c r="C215">
        <v>7</v>
      </c>
      <c r="D215" t="s">
        <v>18</v>
      </c>
      <c r="E215" s="10">
        <v>776</v>
      </c>
      <c r="F215" t="s">
        <v>20</v>
      </c>
    </row>
    <row r="216" spans="1:6" x14ac:dyDescent="0.2">
      <c r="A216">
        <v>51635</v>
      </c>
      <c r="B216" t="s">
        <v>17</v>
      </c>
      <c r="C216">
        <v>32</v>
      </c>
      <c r="D216" t="s">
        <v>15</v>
      </c>
      <c r="E216" s="10">
        <v>36827</v>
      </c>
      <c r="F216" t="s">
        <v>20</v>
      </c>
    </row>
    <row r="217" spans="1:6" x14ac:dyDescent="0.2">
      <c r="A217">
        <v>52177</v>
      </c>
      <c r="B217" t="s">
        <v>26</v>
      </c>
      <c r="C217">
        <v>12</v>
      </c>
      <c r="D217" t="s">
        <v>15</v>
      </c>
      <c r="E217" s="10">
        <v>3539</v>
      </c>
      <c r="F217" t="s">
        <v>20</v>
      </c>
    </row>
    <row r="218" spans="1:6" x14ac:dyDescent="0.2">
      <c r="A218">
        <v>52217</v>
      </c>
      <c r="B218" t="s">
        <v>21</v>
      </c>
      <c r="C218">
        <v>19</v>
      </c>
      <c r="D218" t="s">
        <v>18</v>
      </c>
      <c r="E218" s="10">
        <v>10230</v>
      </c>
      <c r="F218" t="s">
        <v>20</v>
      </c>
    </row>
    <row r="219" spans="1:6" x14ac:dyDescent="0.2">
      <c r="A219">
        <v>52887</v>
      </c>
      <c r="B219" t="s">
        <v>21</v>
      </c>
      <c r="C219">
        <v>18</v>
      </c>
      <c r="D219" t="s">
        <v>15</v>
      </c>
      <c r="E219" s="10">
        <v>8869</v>
      </c>
      <c r="F219" t="s">
        <v>20</v>
      </c>
    </row>
    <row r="220" spans="1:6" x14ac:dyDescent="0.2">
      <c r="A220">
        <v>53225</v>
      </c>
      <c r="B220" t="s">
        <v>26</v>
      </c>
      <c r="C220">
        <v>6</v>
      </c>
      <c r="D220" t="s">
        <v>15</v>
      </c>
      <c r="E220" s="10">
        <v>3379</v>
      </c>
      <c r="F220" t="s">
        <v>20</v>
      </c>
    </row>
    <row r="221" spans="1:6" x14ac:dyDescent="0.2">
      <c r="A221">
        <v>53288</v>
      </c>
      <c r="B221" t="s">
        <v>14</v>
      </c>
      <c r="C221">
        <v>14</v>
      </c>
      <c r="D221" t="s">
        <v>15</v>
      </c>
      <c r="E221" s="10">
        <v>3580</v>
      </c>
      <c r="F221" t="s">
        <v>20</v>
      </c>
    </row>
    <row r="222" spans="1:6" x14ac:dyDescent="0.2">
      <c r="A222">
        <v>53690</v>
      </c>
      <c r="B222" t="s">
        <v>14</v>
      </c>
      <c r="C222">
        <v>17</v>
      </c>
      <c r="D222" t="s">
        <v>15</v>
      </c>
      <c r="E222" s="10">
        <v>5228</v>
      </c>
      <c r="F222" t="s">
        <v>20</v>
      </c>
    </row>
    <row r="223" spans="1:6" x14ac:dyDescent="0.2">
      <c r="A223">
        <v>53903</v>
      </c>
      <c r="B223" t="s">
        <v>21</v>
      </c>
      <c r="C223">
        <v>21</v>
      </c>
      <c r="D223" t="s">
        <v>15</v>
      </c>
      <c r="E223" s="10">
        <v>13129</v>
      </c>
      <c r="F223" t="s">
        <v>20</v>
      </c>
    </row>
    <row r="224" spans="1:6" x14ac:dyDescent="0.2">
      <c r="A224">
        <v>55043</v>
      </c>
      <c r="B224" t="s">
        <v>26</v>
      </c>
      <c r="C224">
        <v>10</v>
      </c>
      <c r="D224" t="s">
        <v>15</v>
      </c>
      <c r="E224" s="10">
        <v>4152</v>
      </c>
      <c r="F224" t="s">
        <v>20</v>
      </c>
    </row>
    <row r="225" spans="1:6" x14ac:dyDescent="0.2">
      <c r="A225">
        <v>55115</v>
      </c>
      <c r="B225" t="s">
        <v>14</v>
      </c>
      <c r="C225">
        <v>15</v>
      </c>
      <c r="D225" t="s">
        <v>15</v>
      </c>
      <c r="E225" s="10">
        <v>3190</v>
      </c>
      <c r="F225" t="s">
        <v>20</v>
      </c>
    </row>
    <row r="226" spans="1:6" x14ac:dyDescent="0.2">
      <c r="A226">
        <v>55162</v>
      </c>
      <c r="B226" t="s">
        <v>14</v>
      </c>
      <c r="C226">
        <v>15</v>
      </c>
      <c r="D226" t="s">
        <v>18</v>
      </c>
      <c r="E226" s="10">
        <v>3443</v>
      </c>
      <c r="F226" t="s">
        <v>20</v>
      </c>
    </row>
    <row r="227" spans="1:6" hidden="1" x14ac:dyDescent="0.2">
      <c r="A227">
        <v>29804</v>
      </c>
      <c r="B227" t="s">
        <v>14</v>
      </c>
      <c r="C227">
        <v>14</v>
      </c>
      <c r="D227" t="s">
        <v>18</v>
      </c>
      <c r="E227">
        <v>386</v>
      </c>
      <c r="F227" t="s">
        <v>24</v>
      </c>
    </row>
    <row r="228" spans="1:6" x14ac:dyDescent="0.2">
      <c r="A228">
        <v>55314</v>
      </c>
      <c r="B228" t="s">
        <v>14</v>
      </c>
      <c r="C228">
        <v>17</v>
      </c>
      <c r="D228" t="s">
        <v>15</v>
      </c>
      <c r="E228" s="10">
        <v>2184</v>
      </c>
      <c r="F228" t="s">
        <v>20</v>
      </c>
    </row>
    <row r="229" spans="1:6" x14ac:dyDescent="0.2">
      <c r="A229">
        <v>55345</v>
      </c>
      <c r="B229" t="s">
        <v>14</v>
      </c>
      <c r="C229">
        <v>16</v>
      </c>
      <c r="D229" t="s">
        <v>18</v>
      </c>
      <c r="E229" s="10">
        <v>5412</v>
      </c>
      <c r="F229" t="s">
        <v>20</v>
      </c>
    </row>
    <row r="230" spans="1:6" hidden="1" x14ac:dyDescent="0.2">
      <c r="A230">
        <v>29902</v>
      </c>
      <c r="B230" t="s">
        <v>21</v>
      </c>
      <c r="C230">
        <v>19</v>
      </c>
      <c r="D230" t="s">
        <v>15</v>
      </c>
      <c r="E230">
        <v>8530</v>
      </c>
      <c r="F230" t="s">
        <v>24</v>
      </c>
    </row>
    <row r="231" spans="1:6" hidden="1" x14ac:dyDescent="0.2">
      <c r="A231">
        <v>29914</v>
      </c>
      <c r="B231" t="s">
        <v>19</v>
      </c>
      <c r="C231">
        <v>5</v>
      </c>
      <c r="D231" t="s">
        <v>18</v>
      </c>
      <c r="E231">
        <v>1315</v>
      </c>
      <c r="F231" t="s">
        <v>24</v>
      </c>
    </row>
    <row r="232" spans="1:6" x14ac:dyDescent="0.2">
      <c r="A232">
        <v>55877</v>
      </c>
      <c r="B232" t="s">
        <v>14</v>
      </c>
      <c r="C232">
        <v>15</v>
      </c>
      <c r="D232" t="s">
        <v>15</v>
      </c>
      <c r="E232" s="10">
        <v>4527</v>
      </c>
      <c r="F232" t="s">
        <v>20</v>
      </c>
    </row>
    <row r="233" spans="1:6" hidden="1" x14ac:dyDescent="0.2">
      <c r="A233">
        <v>30234</v>
      </c>
      <c r="B233" t="s">
        <v>25</v>
      </c>
      <c r="C233">
        <v>78</v>
      </c>
      <c r="D233" t="s">
        <v>15</v>
      </c>
      <c r="E233">
        <v>55430</v>
      </c>
      <c r="F233" t="s">
        <v>27</v>
      </c>
    </row>
    <row r="234" spans="1:6" x14ac:dyDescent="0.2">
      <c r="A234">
        <v>56202</v>
      </c>
      <c r="B234" t="s">
        <v>26</v>
      </c>
      <c r="C234">
        <v>12</v>
      </c>
      <c r="D234" t="s">
        <v>15</v>
      </c>
      <c r="E234" s="10">
        <v>3003</v>
      </c>
      <c r="F234" t="s">
        <v>20</v>
      </c>
    </row>
    <row r="235" spans="1:6" x14ac:dyDescent="0.2">
      <c r="A235">
        <v>56203</v>
      </c>
      <c r="B235" t="s">
        <v>21</v>
      </c>
      <c r="C235">
        <v>19</v>
      </c>
      <c r="D235" t="s">
        <v>15</v>
      </c>
      <c r="E235" s="10">
        <v>7122</v>
      </c>
      <c r="F235" t="s">
        <v>20</v>
      </c>
    </row>
    <row r="236" spans="1:6" x14ac:dyDescent="0.2">
      <c r="A236">
        <v>56309</v>
      </c>
      <c r="B236" t="s">
        <v>26</v>
      </c>
      <c r="C236">
        <v>7</v>
      </c>
      <c r="D236" t="s">
        <v>15</v>
      </c>
      <c r="E236" s="10">
        <v>2191</v>
      </c>
      <c r="F236" t="s">
        <v>20</v>
      </c>
    </row>
    <row r="237" spans="1:6" hidden="1" x14ac:dyDescent="0.2">
      <c r="A237">
        <v>30517</v>
      </c>
      <c r="B237" t="s">
        <v>26</v>
      </c>
      <c r="C237">
        <v>7</v>
      </c>
      <c r="D237" t="s">
        <v>18</v>
      </c>
      <c r="E237">
        <v>1725</v>
      </c>
      <c r="F237" t="s">
        <v>24</v>
      </c>
    </row>
    <row r="238" spans="1:6" x14ac:dyDescent="0.2">
      <c r="A238">
        <v>56318</v>
      </c>
      <c r="B238" t="s">
        <v>25</v>
      </c>
      <c r="C238">
        <v>68</v>
      </c>
      <c r="D238" t="s">
        <v>18</v>
      </c>
      <c r="E238" s="10">
        <v>57363</v>
      </c>
      <c r="F238" t="s">
        <v>20</v>
      </c>
    </row>
    <row r="239" spans="1:6" x14ac:dyDescent="0.2">
      <c r="A239">
        <v>56400</v>
      </c>
      <c r="B239" t="s">
        <v>14</v>
      </c>
      <c r="C239">
        <v>16</v>
      </c>
      <c r="D239" t="s">
        <v>15</v>
      </c>
      <c r="E239" s="10">
        <v>1641</v>
      </c>
      <c r="F239" t="s">
        <v>20</v>
      </c>
    </row>
    <row r="240" spans="1:6" x14ac:dyDescent="0.2">
      <c r="A240">
        <v>56592</v>
      </c>
      <c r="B240" t="s">
        <v>25</v>
      </c>
      <c r="C240">
        <v>88</v>
      </c>
      <c r="D240" t="s">
        <v>18</v>
      </c>
      <c r="E240" s="10">
        <v>54875</v>
      </c>
      <c r="F240" t="s">
        <v>20</v>
      </c>
    </row>
    <row r="241" spans="1:6" x14ac:dyDescent="0.2">
      <c r="A241">
        <v>56802</v>
      </c>
      <c r="B241" t="s">
        <v>17</v>
      </c>
      <c r="C241">
        <v>29</v>
      </c>
      <c r="D241" t="s">
        <v>15</v>
      </c>
      <c r="E241" s="10">
        <v>42041</v>
      </c>
      <c r="F241" t="s">
        <v>20</v>
      </c>
    </row>
    <row r="242" spans="1:6" x14ac:dyDescent="0.2">
      <c r="A242">
        <v>57039</v>
      </c>
      <c r="B242" t="s">
        <v>17</v>
      </c>
      <c r="C242">
        <v>22</v>
      </c>
      <c r="D242" t="s">
        <v>15</v>
      </c>
      <c r="E242" s="10">
        <v>47954</v>
      </c>
      <c r="F242" t="s">
        <v>20</v>
      </c>
    </row>
    <row r="243" spans="1:6" x14ac:dyDescent="0.2">
      <c r="A243">
        <v>57419</v>
      </c>
      <c r="B243" t="s">
        <v>19</v>
      </c>
      <c r="C243">
        <v>5</v>
      </c>
      <c r="D243" t="s">
        <v>15</v>
      </c>
      <c r="E243" s="10">
        <v>1632</v>
      </c>
      <c r="F243" t="s">
        <v>20</v>
      </c>
    </row>
    <row r="244" spans="1:6" x14ac:dyDescent="0.2">
      <c r="A244">
        <v>57601</v>
      </c>
      <c r="B244" t="s">
        <v>21</v>
      </c>
      <c r="C244">
        <v>19</v>
      </c>
      <c r="D244" t="s">
        <v>18</v>
      </c>
      <c r="E244" s="10">
        <v>11986</v>
      </c>
      <c r="F244" t="s">
        <v>20</v>
      </c>
    </row>
    <row r="245" spans="1:6" hidden="1" x14ac:dyDescent="0.2">
      <c r="A245">
        <v>31168</v>
      </c>
      <c r="B245" t="s">
        <v>26</v>
      </c>
      <c r="C245">
        <v>11</v>
      </c>
      <c r="D245" t="s">
        <v>15</v>
      </c>
      <c r="E245">
        <v>2918</v>
      </c>
      <c r="F245" t="s">
        <v>23</v>
      </c>
    </row>
    <row r="246" spans="1:6" x14ac:dyDescent="0.2">
      <c r="A246">
        <v>57670</v>
      </c>
      <c r="B246" t="s">
        <v>25</v>
      </c>
      <c r="C246">
        <v>62</v>
      </c>
      <c r="D246" t="s">
        <v>18</v>
      </c>
      <c r="E246" s="10">
        <v>47420</v>
      </c>
      <c r="F246" t="s">
        <v>20</v>
      </c>
    </row>
    <row r="247" spans="1:6" x14ac:dyDescent="0.2">
      <c r="A247">
        <v>57874</v>
      </c>
      <c r="B247" t="s">
        <v>14</v>
      </c>
      <c r="C247">
        <v>17</v>
      </c>
      <c r="D247" t="s">
        <v>18</v>
      </c>
      <c r="E247" s="10">
        <v>4300</v>
      </c>
      <c r="F247" t="s">
        <v>20</v>
      </c>
    </row>
    <row r="248" spans="1:6" x14ac:dyDescent="0.2">
      <c r="A248">
        <v>57961</v>
      </c>
      <c r="B248" t="s">
        <v>14</v>
      </c>
      <c r="C248">
        <v>13</v>
      </c>
      <c r="D248" t="s">
        <v>18</v>
      </c>
      <c r="E248" s="10">
        <v>4787</v>
      </c>
      <c r="F248" t="s">
        <v>20</v>
      </c>
    </row>
    <row r="249" spans="1:6" hidden="1" x14ac:dyDescent="0.2">
      <c r="A249">
        <v>31632</v>
      </c>
      <c r="B249" t="s">
        <v>17</v>
      </c>
      <c r="C249">
        <v>23</v>
      </c>
      <c r="D249" t="s">
        <v>18</v>
      </c>
      <c r="E249">
        <v>32344</v>
      </c>
      <c r="F249" t="s">
        <v>24</v>
      </c>
    </row>
    <row r="250" spans="1:6" x14ac:dyDescent="0.2">
      <c r="A250">
        <v>58075</v>
      </c>
      <c r="B250" t="s">
        <v>26</v>
      </c>
      <c r="C250">
        <v>12</v>
      </c>
      <c r="D250" t="s">
        <v>15</v>
      </c>
      <c r="E250" s="10">
        <v>2339</v>
      </c>
      <c r="F250" t="s">
        <v>20</v>
      </c>
    </row>
    <row r="251" spans="1:6" hidden="1" x14ac:dyDescent="0.2">
      <c r="A251">
        <v>31658</v>
      </c>
      <c r="B251" t="s">
        <v>25</v>
      </c>
      <c r="C251">
        <v>60</v>
      </c>
      <c r="D251" t="s">
        <v>15</v>
      </c>
      <c r="E251">
        <v>46873</v>
      </c>
      <c r="F251" t="s">
        <v>22</v>
      </c>
    </row>
    <row r="252" spans="1:6" x14ac:dyDescent="0.2">
      <c r="A252">
        <v>58136</v>
      </c>
      <c r="B252" t="s">
        <v>14</v>
      </c>
      <c r="C252">
        <v>15</v>
      </c>
      <c r="D252" t="s">
        <v>15</v>
      </c>
      <c r="E252" s="10">
        <v>4345</v>
      </c>
      <c r="F252" t="s">
        <v>20</v>
      </c>
    </row>
    <row r="253" spans="1:6" x14ac:dyDescent="0.2">
      <c r="A253">
        <v>58357</v>
      </c>
      <c r="B253" t="s">
        <v>21</v>
      </c>
      <c r="C253">
        <v>20</v>
      </c>
      <c r="D253" t="s">
        <v>15</v>
      </c>
      <c r="E253" s="10">
        <v>9061</v>
      </c>
      <c r="F253" t="s">
        <v>20</v>
      </c>
    </row>
    <row r="254" spans="1:6" x14ac:dyDescent="0.2">
      <c r="A254">
        <v>58680</v>
      </c>
      <c r="B254" t="s">
        <v>21</v>
      </c>
      <c r="C254">
        <v>21</v>
      </c>
      <c r="D254" t="s">
        <v>18</v>
      </c>
      <c r="E254" s="10">
        <v>4931</v>
      </c>
      <c r="F254" t="s">
        <v>20</v>
      </c>
    </row>
    <row r="255" spans="1:6" x14ac:dyDescent="0.2">
      <c r="A255">
        <v>59079</v>
      </c>
      <c r="B255" t="s">
        <v>21</v>
      </c>
      <c r="C255">
        <v>18</v>
      </c>
      <c r="D255" t="s">
        <v>18</v>
      </c>
      <c r="E255" s="10">
        <v>11479</v>
      </c>
      <c r="F255" t="s">
        <v>20</v>
      </c>
    </row>
    <row r="256" spans="1:6" x14ac:dyDescent="0.2">
      <c r="A256">
        <v>59154</v>
      </c>
      <c r="B256" t="s">
        <v>14</v>
      </c>
      <c r="C256">
        <v>15</v>
      </c>
      <c r="D256" t="s">
        <v>15</v>
      </c>
      <c r="E256" s="10">
        <v>4798</v>
      </c>
      <c r="F256" t="s">
        <v>20</v>
      </c>
    </row>
    <row r="257" spans="1:6" hidden="1" x14ac:dyDescent="0.2">
      <c r="A257">
        <v>32161</v>
      </c>
      <c r="B257" t="s">
        <v>26</v>
      </c>
      <c r="C257">
        <v>11</v>
      </c>
      <c r="D257" t="s">
        <v>15</v>
      </c>
      <c r="E257">
        <v>2059</v>
      </c>
      <c r="F257" t="s">
        <v>24</v>
      </c>
    </row>
    <row r="258" spans="1:6" hidden="1" x14ac:dyDescent="0.2">
      <c r="A258">
        <v>32186</v>
      </c>
      <c r="B258" t="s">
        <v>14</v>
      </c>
      <c r="C258">
        <v>16</v>
      </c>
      <c r="D258" t="s">
        <v>15</v>
      </c>
      <c r="E258">
        <v>4054</v>
      </c>
      <c r="F258" t="s">
        <v>24</v>
      </c>
    </row>
    <row r="259" spans="1:6" hidden="1" x14ac:dyDescent="0.2">
      <c r="A259">
        <v>32326</v>
      </c>
      <c r="B259" t="s">
        <v>26</v>
      </c>
      <c r="C259">
        <v>7</v>
      </c>
      <c r="D259" t="s">
        <v>18</v>
      </c>
      <c r="E259">
        <v>1212</v>
      </c>
      <c r="F259" t="s">
        <v>22</v>
      </c>
    </row>
    <row r="260" spans="1:6" x14ac:dyDescent="0.2">
      <c r="A260">
        <v>59660</v>
      </c>
      <c r="B260" t="s">
        <v>26</v>
      </c>
      <c r="C260">
        <v>9</v>
      </c>
      <c r="D260" t="s">
        <v>15</v>
      </c>
      <c r="E260" s="10">
        <v>1713</v>
      </c>
      <c r="F260" t="s">
        <v>20</v>
      </c>
    </row>
    <row r="261" spans="1:6" x14ac:dyDescent="0.2">
      <c r="A261">
        <v>59753</v>
      </c>
      <c r="B261" t="s">
        <v>14</v>
      </c>
      <c r="C261">
        <v>14</v>
      </c>
      <c r="D261" t="s">
        <v>15</v>
      </c>
      <c r="E261" s="10">
        <v>2462</v>
      </c>
      <c r="F261" t="s">
        <v>20</v>
      </c>
    </row>
    <row r="262" spans="1:6" hidden="1" x14ac:dyDescent="0.2">
      <c r="A262">
        <v>32519</v>
      </c>
      <c r="B262" t="s">
        <v>14</v>
      </c>
      <c r="C262">
        <v>15</v>
      </c>
      <c r="D262" t="s">
        <v>15</v>
      </c>
      <c r="E262">
        <v>3529</v>
      </c>
      <c r="F262" t="s">
        <v>24</v>
      </c>
    </row>
    <row r="263" spans="1:6" x14ac:dyDescent="0.2">
      <c r="A263">
        <v>60037</v>
      </c>
      <c r="B263" t="s">
        <v>14</v>
      </c>
      <c r="C263">
        <v>15</v>
      </c>
      <c r="D263" t="s">
        <v>15</v>
      </c>
      <c r="E263" s="10">
        <v>4884</v>
      </c>
      <c r="F263" t="s">
        <v>20</v>
      </c>
    </row>
    <row r="264" spans="1:6" x14ac:dyDescent="0.2">
      <c r="A264">
        <v>60292</v>
      </c>
      <c r="B264" t="s">
        <v>14</v>
      </c>
      <c r="C264">
        <v>14</v>
      </c>
      <c r="D264" t="s">
        <v>18</v>
      </c>
      <c r="E264" s="10">
        <v>4058</v>
      </c>
      <c r="F264" t="s">
        <v>20</v>
      </c>
    </row>
    <row r="265" spans="1:6" x14ac:dyDescent="0.2">
      <c r="A265">
        <v>60352</v>
      </c>
      <c r="B265" t="s">
        <v>26</v>
      </c>
      <c r="C265">
        <v>7</v>
      </c>
      <c r="D265" t="s">
        <v>15</v>
      </c>
      <c r="E265" s="10">
        <v>3464</v>
      </c>
      <c r="F265" t="s">
        <v>20</v>
      </c>
    </row>
    <row r="266" spans="1:6" hidden="1" x14ac:dyDescent="0.2">
      <c r="A266">
        <v>32781</v>
      </c>
      <c r="B266" t="s">
        <v>26</v>
      </c>
      <c r="C266">
        <v>8</v>
      </c>
      <c r="D266" t="s">
        <v>18</v>
      </c>
      <c r="E266">
        <v>641</v>
      </c>
      <c r="F266" t="s">
        <v>24</v>
      </c>
    </row>
    <row r="267" spans="1:6" x14ac:dyDescent="0.2">
      <c r="A267">
        <v>60372</v>
      </c>
      <c r="B267" t="s">
        <v>26</v>
      </c>
      <c r="C267">
        <v>12</v>
      </c>
      <c r="D267" t="s">
        <v>18</v>
      </c>
      <c r="E267" s="10">
        <v>1539</v>
      </c>
      <c r="F267" t="s">
        <v>20</v>
      </c>
    </row>
    <row r="268" spans="1:6" x14ac:dyDescent="0.2">
      <c r="A268">
        <v>60676</v>
      </c>
      <c r="B268" t="s">
        <v>21</v>
      </c>
      <c r="C268">
        <v>21</v>
      </c>
      <c r="D268" t="s">
        <v>15</v>
      </c>
      <c r="E268" s="10">
        <v>5066</v>
      </c>
      <c r="F268" t="s">
        <v>20</v>
      </c>
    </row>
    <row r="269" spans="1:6" hidden="1" x14ac:dyDescent="0.2">
      <c r="A269">
        <v>33305</v>
      </c>
      <c r="B269" t="s">
        <v>19</v>
      </c>
      <c r="C269">
        <v>4</v>
      </c>
      <c r="D269" t="s">
        <v>18</v>
      </c>
      <c r="E269">
        <v>1437</v>
      </c>
      <c r="F269" t="s">
        <v>24</v>
      </c>
    </row>
    <row r="270" spans="1:6" x14ac:dyDescent="0.2">
      <c r="A270">
        <v>61004</v>
      </c>
      <c r="B270" t="s">
        <v>19</v>
      </c>
      <c r="C270">
        <v>4</v>
      </c>
      <c r="D270" t="s">
        <v>15</v>
      </c>
      <c r="E270" s="10">
        <v>456</v>
      </c>
      <c r="F270" t="s">
        <v>20</v>
      </c>
    </row>
    <row r="271" spans="1:6" hidden="1" x14ac:dyDescent="0.2">
      <c r="A271">
        <v>33360</v>
      </c>
      <c r="B271" t="s">
        <v>17</v>
      </c>
      <c r="C271">
        <v>25</v>
      </c>
      <c r="D271" t="s">
        <v>15</v>
      </c>
      <c r="E271">
        <v>41984</v>
      </c>
      <c r="F271" t="s">
        <v>24</v>
      </c>
    </row>
    <row r="272" spans="1:6" x14ac:dyDescent="0.2">
      <c r="A272">
        <v>61019</v>
      </c>
      <c r="B272" t="s">
        <v>19</v>
      </c>
      <c r="C272">
        <v>0</v>
      </c>
      <c r="D272" t="s">
        <v>15</v>
      </c>
      <c r="E272" s="10">
        <v>1147</v>
      </c>
      <c r="F272" t="s">
        <v>20</v>
      </c>
    </row>
    <row r="273" spans="1:6" x14ac:dyDescent="0.2">
      <c r="A273">
        <v>61570</v>
      </c>
      <c r="B273" t="s">
        <v>26</v>
      </c>
      <c r="C273">
        <v>11</v>
      </c>
      <c r="D273" t="s">
        <v>18</v>
      </c>
      <c r="E273" s="10">
        <v>1286</v>
      </c>
      <c r="F273" t="s">
        <v>20</v>
      </c>
    </row>
    <row r="274" spans="1:6" x14ac:dyDescent="0.2">
      <c r="A274">
        <v>61654</v>
      </c>
      <c r="B274" t="s">
        <v>21</v>
      </c>
      <c r="C274">
        <v>21</v>
      </c>
      <c r="D274" t="s">
        <v>15</v>
      </c>
      <c r="E274" s="10">
        <v>4731</v>
      </c>
      <c r="F274" t="s">
        <v>20</v>
      </c>
    </row>
    <row r="275" spans="1:6" x14ac:dyDescent="0.2">
      <c r="A275">
        <v>61887</v>
      </c>
      <c r="B275" t="s">
        <v>14</v>
      </c>
      <c r="C275">
        <v>17</v>
      </c>
      <c r="D275" t="s">
        <v>18</v>
      </c>
      <c r="E275" s="10">
        <v>3629</v>
      </c>
      <c r="F275" t="s">
        <v>20</v>
      </c>
    </row>
    <row r="276" spans="1:6" hidden="1" x14ac:dyDescent="0.2">
      <c r="A276">
        <v>33643</v>
      </c>
      <c r="B276" t="s">
        <v>14</v>
      </c>
      <c r="C276">
        <v>13</v>
      </c>
      <c r="D276" t="s">
        <v>18</v>
      </c>
      <c r="E276">
        <v>4483</v>
      </c>
      <c r="F276" t="s">
        <v>24</v>
      </c>
    </row>
    <row r="277" spans="1:6" x14ac:dyDescent="0.2">
      <c r="A277">
        <v>61954</v>
      </c>
      <c r="B277" t="s">
        <v>21</v>
      </c>
      <c r="C277">
        <v>19</v>
      </c>
      <c r="D277" t="s">
        <v>15</v>
      </c>
      <c r="E277" s="10">
        <v>5616</v>
      </c>
      <c r="F277" t="s">
        <v>20</v>
      </c>
    </row>
    <row r="278" spans="1:6" x14ac:dyDescent="0.2">
      <c r="A278">
        <v>62485</v>
      </c>
      <c r="B278" t="s">
        <v>17</v>
      </c>
      <c r="C278">
        <v>23</v>
      </c>
      <c r="D278" t="s">
        <v>15</v>
      </c>
      <c r="E278" s="10">
        <v>27845</v>
      </c>
      <c r="F278" t="s">
        <v>20</v>
      </c>
    </row>
    <row r="279" spans="1:6" x14ac:dyDescent="0.2">
      <c r="A279">
        <v>62691</v>
      </c>
      <c r="B279" t="s">
        <v>26</v>
      </c>
      <c r="C279">
        <v>10</v>
      </c>
      <c r="D279" t="s">
        <v>15</v>
      </c>
      <c r="E279" s="10">
        <v>2409</v>
      </c>
      <c r="F279" t="s">
        <v>20</v>
      </c>
    </row>
    <row r="280" spans="1:6" x14ac:dyDescent="0.2">
      <c r="A280">
        <v>63959</v>
      </c>
      <c r="B280" t="s">
        <v>21</v>
      </c>
      <c r="C280">
        <v>20</v>
      </c>
      <c r="D280" t="s">
        <v>15</v>
      </c>
      <c r="E280" s="10">
        <v>10247</v>
      </c>
      <c r="F280" t="s">
        <v>20</v>
      </c>
    </row>
    <row r="281" spans="1:6" x14ac:dyDescent="0.2">
      <c r="A281">
        <v>64181</v>
      </c>
      <c r="B281" t="s">
        <v>26</v>
      </c>
      <c r="C281">
        <v>8</v>
      </c>
      <c r="D281" t="s">
        <v>18</v>
      </c>
      <c r="E281" s="10">
        <v>2153</v>
      </c>
      <c r="F281" t="s">
        <v>20</v>
      </c>
    </row>
    <row r="282" spans="1:6" hidden="1" x14ac:dyDescent="0.2">
      <c r="A282">
        <v>34751</v>
      </c>
      <c r="B282" t="s">
        <v>26</v>
      </c>
      <c r="C282">
        <v>9</v>
      </c>
      <c r="D282" t="s">
        <v>18</v>
      </c>
      <c r="E282">
        <v>2695</v>
      </c>
      <c r="F282" t="s">
        <v>24</v>
      </c>
    </row>
    <row r="283" spans="1:6" x14ac:dyDescent="0.2">
      <c r="A283">
        <v>64182</v>
      </c>
      <c r="B283" t="s">
        <v>26</v>
      </c>
      <c r="C283">
        <v>12</v>
      </c>
      <c r="D283" t="s">
        <v>18</v>
      </c>
      <c r="E283" s="10">
        <v>847</v>
      </c>
      <c r="F283" t="s">
        <v>20</v>
      </c>
    </row>
    <row r="284" spans="1:6" x14ac:dyDescent="0.2">
      <c r="A284">
        <v>64319</v>
      </c>
      <c r="B284" t="s">
        <v>21</v>
      </c>
      <c r="C284">
        <v>20</v>
      </c>
      <c r="D284" t="s">
        <v>18</v>
      </c>
      <c r="E284" s="10">
        <v>11470</v>
      </c>
      <c r="F284" t="s">
        <v>20</v>
      </c>
    </row>
    <row r="285" spans="1:6" x14ac:dyDescent="0.2">
      <c r="A285">
        <v>64899</v>
      </c>
      <c r="B285" t="s">
        <v>14</v>
      </c>
      <c r="C285">
        <v>16</v>
      </c>
      <c r="D285" t="s">
        <v>15</v>
      </c>
      <c r="E285" s="10">
        <v>3698</v>
      </c>
      <c r="F285" t="s">
        <v>20</v>
      </c>
    </row>
    <row r="286" spans="1:6" x14ac:dyDescent="0.2">
      <c r="A286">
        <v>65274</v>
      </c>
      <c r="B286" t="s">
        <v>19</v>
      </c>
      <c r="C286">
        <v>5</v>
      </c>
      <c r="D286" t="s">
        <v>15</v>
      </c>
      <c r="E286" s="10">
        <v>2308</v>
      </c>
      <c r="F286" t="s">
        <v>20</v>
      </c>
    </row>
    <row r="287" spans="1:6" hidden="1" x14ac:dyDescent="0.2">
      <c r="A287">
        <v>35066</v>
      </c>
      <c r="B287" t="s">
        <v>14</v>
      </c>
      <c r="C287">
        <v>13</v>
      </c>
      <c r="D287" t="s">
        <v>18</v>
      </c>
      <c r="E287">
        <v>4554</v>
      </c>
      <c r="F287" t="s">
        <v>22</v>
      </c>
    </row>
    <row r="288" spans="1:6" hidden="1" x14ac:dyDescent="0.2">
      <c r="A288">
        <v>35093</v>
      </c>
      <c r="B288" t="s">
        <v>26</v>
      </c>
      <c r="C288">
        <v>9</v>
      </c>
      <c r="D288" t="s">
        <v>18</v>
      </c>
      <c r="E288">
        <v>1824</v>
      </c>
      <c r="F288" t="s">
        <v>24</v>
      </c>
    </row>
    <row r="289" spans="1:6" x14ac:dyDescent="0.2">
      <c r="A289">
        <v>65331</v>
      </c>
      <c r="B289" t="s">
        <v>14</v>
      </c>
      <c r="C289">
        <v>17</v>
      </c>
      <c r="D289" t="s">
        <v>18</v>
      </c>
      <c r="E289" s="10">
        <v>4527</v>
      </c>
      <c r="F289" t="s">
        <v>20</v>
      </c>
    </row>
    <row r="290" spans="1:6" hidden="1" x14ac:dyDescent="0.2">
      <c r="A290">
        <v>35360</v>
      </c>
      <c r="B290" t="s">
        <v>26</v>
      </c>
      <c r="C290">
        <v>10</v>
      </c>
      <c r="D290" t="s">
        <v>15</v>
      </c>
      <c r="E290">
        <v>1622</v>
      </c>
      <c r="F290" t="s">
        <v>23</v>
      </c>
    </row>
    <row r="291" spans="1:6" x14ac:dyDescent="0.2">
      <c r="A291">
        <v>65394</v>
      </c>
      <c r="B291" t="s">
        <v>26</v>
      </c>
      <c r="C291">
        <v>6</v>
      </c>
      <c r="D291" t="s">
        <v>15</v>
      </c>
      <c r="E291" s="10">
        <v>1254</v>
      </c>
      <c r="F291" t="s">
        <v>20</v>
      </c>
    </row>
    <row r="292" spans="1:6" x14ac:dyDescent="0.2">
      <c r="A292">
        <v>65675</v>
      </c>
      <c r="B292" t="s">
        <v>26</v>
      </c>
      <c r="C292">
        <v>10</v>
      </c>
      <c r="D292" t="s">
        <v>18</v>
      </c>
      <c r="E292" s="10">
        <v>1110</v>
      </c>
      <c r="F292" t="s">
        <v>20</v>
      </c>
    </row>
    <row r="293" spans="1:6" x14ac:dyDescent="0.2">
      <c r="A293">
        <v>65787</v>
      </c>
      <c r="B293" t="s">
        <v>14</v>
      </c>
      <c r="C293">
        <v>15</v>
      </c>
      <c r="D293" t="s">
        <v>18</v>
      </c>
      <c r="E293" s="10">
        <v>3423</v>
      </c>
      <c r="F293" t="s">
        <v>20</v>
      </c>
    </row>
    <row r="294" spans="1:6" x14ac:dyDescent="0.2">
      <c r="A294">
        <v>65901</v>
      </c>
      <c r="B294" t="s">
        <v>26</v>
      </c>
      <c r="C294">
        <v>12</v>
      </c>
      <c r="D294" t="s">
        <v>18</v>
      </c>
      <c r="E294" s="10">
        <v>1184</v>
      </c>
      <c r="F294" t="s">
        <v>20</v>
      </c>
    </row>
    <row r="295" spans="1:6" x14ac:dyDescent="0.2">
      <c r="A295">
        <v>66098</v>
      </c>
      <c r="B295" t="s">
        <v>26</v>
      </c>
      <c r="C295">
        <v>12</v>
      </c>
      <c r="D295" t="s">
        <v>18</v>
      </c>
      <c r="E295" s="10">
        <v>1689</v>
      </c>
      <c r="F295" t="s">
        <v>20</v>
      </c>
    </row>
    <row r="296" spans="1:6" x14ac:dyDescent="0.2">
      <c r="A296">
        <v>66375</v>
      </c>
      <c r="B296" t="s">
        <v>26</v>
      </c>
      <c r="C296">
        <v>10</v>
      </c>
      <c r="D296" t="s">
        <v>18</v>
      </c>
      <c r="E296" s="10">
        <v>1560</v>
      </c>
      <c r="F296" t="s">
        <v>20</v>
      </c>
    </row>
    <row r="297" spans="1:6" x14ac:dyDescent="0.2">
      <c r="A297">
        <v>66577</v>
      </c>
      <c r="B297" t="s">
        <v>21</v>
      </c>
      <c r="C297">
        <v>19</v>
      </c>
      <c r="D297" t="s">
        <v>18</v>
      </c>
      <c r="E297" s="10">
        <v>14729</v>
      </c>
      <c r="F297" t="s">
        <v>20</v>
      </c>
    </row>
    <row r="298" spans="1:6" hidden="1" x14ac:dyDescent="0.2">
      <c r="A298">
        <v>35970</v>
      </c>
      <c r="B298" t="s">
        <v>14</v>
      </c>
      <c r="C298">
        <v>13</v>
      </c>
      <c r="D298" t="s">
        <v>18</v>
      </c>
      <c r="E298">
        <v>2797</v>
      </c>
      <c r="F298" t="s">
        <v>22</v>
      </c>
    </row>
    <row r="299" spans="1:6" hidden="1" x14ac:dyDescent="0.2">
      <c r="A299">
        <v>36123</v>
      </c>
      <c r="B299" t="s">
        <v>25</v>
      </c>
      <c r="C299">
        <v>59</v>
      </c>
      <c r="D299" t="s">
        <v>18</v>
      </c>
      <c r="E299">
        <v>42739</v>
      </c>
      <c r="F299" t="s">
        <v>24</v>
      </c>
    </row>
    <row r="300" spans="1:6" hidden="1" x14ac:dyDescent="0.2">
      <c r="A300">
        <v>36179</v>
      </c>
      <c r="B300" t="s">
        <v>14</v>
      </c>
      <c r="C300">
        <v>15</v>
      </c>
      <c r="D300" t="s">
        <v>15</v>
      </c>
      <c r="E300">
        <v>2900</v>
      </c>
      <c r="F300" t="s">
        <v>24</v>
      </c>
    </row>
    <row r="301" spans="1:6" x14ac:dyDescent="0.2">
      <c r="A301">
        <v>66818</v>
      </c>
      <c r="B301" t="s">
        <v>21</v>
      </c>
      <c r="C301">
        <v>19</v>
      </c>
      <c r="D301" t="s">
        <v>15</v>
      </c>
      <c r="E301" s="10">
        <v>14926</v>
      </c>
      <c r="F301" t="s">
        <v>20</v>
      </c>
    </row>
    <row r="302" spans="1:6" hidden="1" x14ac:dyDescent="0.2">
      <c r="A302">
        <v>36459</v>
      </c>
      <c r="B302" t="s">
        <v>21</v>
      </c>
      <c r="C302">
        <v>21</v>
      </c>
      <c r="D302" t="s">
        <v>15</v>
      </c>
      <c r="E302">
        <v>9504</v>
      </c>
      <c r="F302" t="s">
        <v>24</v>
      </c>
    </row>
    <row r="303" spans="1:6" x14ac:dyDescent="0.2">
      <c r="A303">
        <v>67230</v>
      </c>
      <c r="B303" t="s">
        <v>26</v>
      </c>
      <c r="C303">
        <v>11</v>
      </c>
      <c r="D303" t="s">
        <v>15</v>
      </c>
      <c r="E303" s="10">
        <v>2143</v>
      </c>
      <c r="F303" t="s">
        <v>20</v>
      </c>
    </row>
    <row r="304" spans="1:6" x14ac:dyDescent="0.2">
      <c r="A304">
        <v>67248</v>
      </c>
      <c r="B304" t="s">
        <v>21</v>
      </c>
      <c r="C304">
        <v>18</v>
      </c>
      <c r="D304" t="s">
        <v>18</v>
      </c>
      <c r="E304" s="10">
        <v>8511</v>
      </c>
      <c r="F304" t="s">
        <v>20</v>
      </c>
    </row>
    <row r="305" spans="1:6" x14ac:dyDescent="0.2">
      <c r="A305">
        <v>67408</v>
      </c>
      <c r="B305" t="s">
        <v>17</v>
      </c>
      <c r="C305">
        <v>23</v>
      </c>
      <c r="D305" t="s">
        <v>18</v>
      </c>
      <c r="E305" s="10">
        <v>49548</v>
      </c>
      <c r="F305" t="s">
        <v>20</v>
      </c>
    </row>
    <row r="306" spans="1:6" x14ac:dyDescent="0.2">
      <c r="A306">
        <v>67535</v>
      </c>
      <c r="B306" t="s">
        <v>26</v>
      </c>
      <c r="C306">
        <v>6</v>
      </c>
      <c r="D306" t="s">
        <v>18</v>
      </c>
      <c r="E306" s="10">
        <v>2493</v>
      </c>
      <c r="F306" t="s">
        <v>20</v>
      </c>
    </row>
    <row r="307" spans="1:6" x14ac:dyDescent="0.2">
      <c r="A307">
        <v>67616</v>
      </c>
      <c r="B307" t="s">
        <v>21</v>
      </c>
      <c r="C307">
        <v>20</v>
      </c>
      <c r="D307" t="s">
        <v>15</v>
      </c>
      <c r="E307" s="10">
        <v>13579</v>
      </c>
      <c r="F307" t="s">
        <v>20</v>
      </c>
    </row>
    <row r="308" spans="1:6" x14ac:dyDescent="0.2">
      <c r="A308">
        <v>67740</v>
      </c>
      <c r="B308" t="s">
        <v>17</v>
      </c>
      <c r="C308">
        <v>39</v>
      </c>
      <c r="D308" t="s">
        <v>18</v>
      </c>
      <c r="E308" s="10">
        <v>36621</v>
      </c>
      <c r="F308" t="s">
        <v>20</v>
      </c>
    </row>
    <row r="309" spans="1:6" x14ac:dyDescent="0.2">
      <c r="A309">
        <v>68378</v>
      </c>
      <c r="B309" t="s">
        <v>26</v>
      </c>
      <c r="C309">
        <v>11</v>
      </c>
      <c r="D309" t="s">
        <v>18</v>
      </c>
      <c r="E309" s="10">
        <v>2498</v>
      </c>
      <c r="F309" t="s">
        <v>20</v>
      </c>
    </row>
    <row r="310" spans="1:6" x14ac:dyDescent="0.2">
      <c r="A310">
        <v>68697</v>
      </c>
      <c r="B310" t="s">
        <v>14</v>
      </c>
      <c r="C310">
        <v>16</v>
      </c>
      <c r="D310" t="s">
        <v>15</v>
      </c>
      <c r="E310" s="10">
        <v>2797</v>
      </c>
      <c r="F310" t="s">
        <v>20</v>
      </c>
    </row>
    <row r="311" spans="1:6" x14ac:dyDescent="0.2">
      <c r="A311">
        <v>68944</v>
      </c>
      <c r="B311" t="s">
        <v>14</v>
      </c>
      <c r="C311">
        <v>13</v>
      </c>
      <c r="D311" t="s">
        <v>18</v>
      </c>
      <c r="E311" s="10">
        <v>4963</v>
      </c>
      <c r="F311" t="s">
        <v>20</v>
      </c>
    </row>
    <row r="312" spans="1:6" x14ac:dyDescent="0.2">
      <c r="A312">
        <v>68956</v>
      </c>
      <c r="B312" t="s">
        <v>26</v>
      </c>
      <c r="C312">
        <v>8</v>
      </c>
      <c r="D312" t="s">
        <v>15</v>
      </c>
      <c r="E312" s="10">
        <v>1417</v>
      </c>
      <c r="F312" t="s">
        <v>20</v>
      </c>
    </row>
    <row r="313" spans="1:6" x14ac:dyDescent="0.2">
      <c r="A313">
        <v>69282</v>
      </c>
      <c r="B313" t="s">
        <v>26</v>
      </c>
      <c r="C313">
        <v>9</v>
      </c>
      <c r="D313" t="s">
        <v>18</v>
      </c>
      <c r="E313" s="10">
        <v>2643</v>
      </c>
      <c r="F313" t="s">
        <v>20</v>
      </c>
    </row>
    <row r="314" spans="1:6" x14ac:dyDescent="0.2">
      <c r="A314">
        <v>69581</v>
      </c>
      <c r="B314" t="s">
        <v>26</v>
      </c>
      <c r="C314">
        <v>7</v>
      </c>
      <c r="D314" t="s">
        <v>15</v>
      </c>
      <c r="E314" s="10">
        <v>1903</v>
      </c>
      <c r="F314" t="s">
        <v>20</v>
      </c>
    </row>
    <row r="315" spans="1:6" x14ac:dyDescent="0.2">
      <c r="A315">
        <v>69608</v>
      </c>
      <c r="B315" t="s">
        <v>14</v>
      </c>
      <c r="C315">
        <v>16</v>
      </c>
      <c r="D315" t="s">
        <v>18</v>
      </c>
      <c r="E315" s="10">
        <v>2760</v>
      </c>
      <c r="F315" t="s">
        <v>20</v>
      </c>
    </row>
    <row r="316" spans="1:6" hidden="1" x14ac:dyDescent="0.2">
      <c r="A316">
        <v>37846</v>
      </c>
      <c r="B316" t="s">
        <v>21</v>
      </c>
      <c r="C316">
        <v>18</v>
      </c>
      <c r="D316" t="s">
        <v>15</v>
      </c>
      <c r="E316">
        <v>9200</v>
      </c>
      <c r="F316" t="s">
        <v>24</v>
      </c>
    </row>
    <row r="317" spans="1:6" x14ac:dyDescent="0.2">
      <c r="A317">
        <v>69726</v>
      </c>
      <c r="B317" t="s">
        <v>21</v>
      </c>
      <c r="C317">
        <v>19</v>
      </c>
      <c r="D317" t="s">
        <v>15</v>
      </c>
      <c r="E317" s="10">
        <v>6690</v>
      </c>
      <c r="F317" t="s">
        <v>20</v>
      </c>
    </row>
    <row r="318" spans="1:6" hidden="1" x14ac:dyDescent="0.2">
      <c r="A318">
        <v>38104</v>
      </c>
      <c r="B318" t="s">
        <v>21</v>
      </c>
      <c r="C318">
        <v>21</v>
      </c>
      <c r="D318" t="s">
        <v>18</v>
      </c>
      <c r="E318">
        <v>11668</v>
      </c>
      <c r="F318" t="s">
        <v>24</v>
      </c>
    </row>
    <row r="319" spans="1:6" x14ac:dyDescent="0.2">
      <c r="A319">
        <v>69933</v>
      </c>
      <c r="B319" t="s">
        <v>21</v>
      </c>
      <c r="C319">
        <v>19</v>
      </c>
      <c r="D319" t="s">
        <v>15</v>
      </c>
      <c r="E319" s="10">
        <v>11629</v>
      </c>
      <c r="F319" t="s">
        <v>20</v>
      </c>
    </row>
    <row r="320" spans="1:6" x14ac:dyDescent="0.2">
      <c r="A320">
        <v>70210</v>
      </c>
      <c r="B320" t="s">
        <v>14</v>
      </c>
      <c r="C320">
        <v>17</v>
      </c>
      <c r="D320" t="s">
        <v>15</v>
      </c>
      <c r="E320" s="10">
        <v>5055</v>
      </c>
      <c r="F320" t="s">
        <v>20</v>
      </c>
    </row>
    <row r="321" spans="1:6" hidden="1" x14ac:dyDescent="0.2">
      <c r="A321">
        <v>38732</v>
      </c>
      <c r="B321" t="s">
        <v>14</v>
      </c>
      <c r="C321">
        <v>16</v>
      </c>
      <c r="D321" t="s">
        <v>18</v>
      </c>
      <c r="E321">
        <v>3909</v>
      </c>
      <c r="F321" t="s">
        <v>22</v>
      </c>
    </row>
    <row r="322" spans="1:6" hidden="1" x14ac:dyDescent="0.2">
      <c r="A322">
        <v>38889</v>
      </c>
      <c r="B322" t="s">
        <v>14</v>
      </c>
      <c r="C322">
        <v>16</v>
      </c>
      <c r="D322" t="s">
        <v>18</v>
      </c>
      <c r="E322">
        <v>5041</v>
      </c>
      <c r="F322" t="s">
        <v>24</v>
      </c>
    </row>
    <row r="323" spans="1:6" x14ac:dyDescent="0.2">
      <c r="A323">
        <v>70290</v>
      </c>
      <c r="B323" t="s">
        <v>14</v>
      </c>
      <c r="C323">
        <v>15</v>
      </c>
      <c r="D323" t="s">
        <v>18</v>
      </c>
      <c r="E323" s="10">
        <v>3911</v>
      </c>
      <c r="F323" t="s">
        <v>20</v>
      </c>
    </row>
    <row r="324" spans="1:6" x14ac:dyDescent="0.2">
      <c r="A324">
        <v>70609</v>
      </c>
      <c r="B324" t="s">
        <v>21</v>
      </c>
      <c r="C324">
        <v>18</v>
      </c>
      <c r="D324" t="s">
        <v>18</v>
      </c>
      <c r="E324" s="10">
        <v>3225</v>
      </c>
      <c r="F324" t="s">
        <v>20</v>
      </c>
    </row>
    <row r="325" spans="1:6" x14ac:dyDescent="0.2">
      <c r="A325">
        <v>70807</v>
      </c>
      <c r="B325" t="s">
        <v>14</v>
      </c>
      <c r="C325">
        <v>17</v>
      </c>
      <c r="D325" t="s">
        <v>18</v>
      </c>
      <c r="E325" s="10">
        <v>4152</v>
      </c>
      <c r="F325" t="s">
        <v>20</v>
      </c>
    </row>
    <row r="326" spans="1:6" x14ac:dyDescent="0.2">
      <c r="A326">
        <v>70929</v>
      </c>
      <c r="B326" t="s">
        <v>21</v>
      </c>
      <c r="C326">
        <v>19</v>
      </c>
      <c r="D326" t="s">
        <v>15</v>
      </c>
      <c r="E326" s="10">
        <v>7805</v>
      </c>
      <c r="F326" t="s">
        <v>20</v>
      </c>
    </row>
    <row r="327" spans="1:6" x14ac:dyDescent="0.2">
      <c r="A327">
        <v>71045</v>
      </c>
      <c r="B327" t="s">
        <v>14</v>
      </c>
      <c r="C327">
        <v>15</v>
      </c>
      <c r="D327" t="s">
        <v>18</v>
      </c>
      <c r="E327" s="10">
        <v>3702</v>
      </c>
      <c r="F327" t="s">
        <v>20</v>
      </c>
    </row>
    <row r="328" spans="1:6" x14ac:dyDescent="0.2">
      <c r="A328">
        <v>71422</v>
      </c>
      <c r="B328" t="s">
        <v>21</v>
      </c>
      <c r="C328">
        <v>20</v>
      </c>
      <c r="D328" t="s">
        <v>15</v>
      </c>
      <c r="E328" s="10">
        <v>16677</v>
      </c>
      <c r="F328" t="s">
        <v>20</v>
      </c>
    </row>
    <row r="329" spans="1:6" x14ac:dyDescent="0.2">
      <c r="A329">
        <v>71440</v>
      </c>
      <c r="B329" t="s">
        <v>14</v>
      </c>
      <c r="C329">
        <v>13</v>
      </c>
      <c r="D329" t="s">
        <v>18</v>
      </c>
      <c r="E329" s="10">
        <v>3395</v>
      </c>
      <c r="F329" t="s">
        <v>20</v>
      </c>
    </row>
    <row r="330" spans="1:6" hidden="1" x14ac:dyDescent="0.2">
      <c r="A330">
        <v>39767</v>
      </c>
      <c r="B330" t="s">
        <v>26</v>
      </c>
      <c r="C330">
        <v>10</v>
      </c>
      <c r="D330" t="s">
        <v>15</v>
      </c>
      <c r="E330">
        <v>2341</v>
      </c>
      <c r="F330" t="s">
        <v>22</v>
      </c>
    </row>
    <row r="331" spans="1:6" x14ac:dyDescent="0.2">
      <c r="A331">
        <v>71763</v>
      </c>
      <c r="B331" t="s">
        <v>26</v>
      </c>
      <c r="C331">
        <v>6</v>
      </c>
      <c r="D331" t="s">
        <v>15</v>
      </c>
      <c r="E331" s="10">
        <v>3099</v>
      </c>
      <c r="F331" t="s">
        <v>20</v>
      </c>
    </row>
    <row r="332" spans="1:6" hidden="1" x14ac:dyDescent="0.2">
      <c r="A332">
        <v>39942</v>
      </c>
      <c r="B332" t="s">
        <v>14</v>
      </c>
      <c r="C332">
        <v>14</v>
      </c>
      <c r="D332" t="s">
        <v>18</v>
      </c>
      <c r="E332">
        <v>3399</v>
      </c>
      <c r="F332" t="s">
        <v>23</v>
      </c>
    </row>
    <row r="333" spans="1:6" x14ac:dyDescent="0.2">
      <c r="A333">
        <v>71846</v>
      </c>
      <c r="B333" t="s">
        <v>14</v>
      </c>
      <c r="C333">
        <v>17</v>
      </c>
      <c r="D333" t="s">
        <v>15</v>
      </c>
      <c r="E333" s="10">
        <v>3088</v>
      </c>
      <c r="F333" t="s">
        <v>20</v>
      </c>
    </row>
    <row r="334" spans="1:6" x14ac:dyDescent="0.2">
      <c r="A334">
        <v>71847</v>
      </c>
      <c r="B334" t="s">
        <v>21</v>
      </c>
      <c r="C334">
        <v>18</v>
      </c>
      <c r="D334" t="s">
        <v>18</v>
      </c>
      <c r="E334" s="10">
        <v>14221</v>
      </c>
      <c r="F334" t="s">
        <v>20</v>
      </c>
    </row>
    <row r="335" spans="1:6" hidden="1" x14ac:dyDescent="0.2">
      <c r="A335">
        <v>40159</v>
      </c>
      <c r="B335" t="s">
        <v>25</v>
      </c>
      <c r="C335">
        <v>73</v>
      </c>
      <c r="D335" t="s">
        <v>15</v>
      </c>
      <c r="E335">
        <v>60198</v>
      </c>
      <c r="F335" t="s">
        <v>24</v>
      </c>
    </row>
    <row r="336" spans="1:6" x14ac:dyDescent="0.2">
      <c r="A336">
        <v>72418</v>
      </c>
      <c r="B336" t="s">
        <v>26</v>
      </c>
      <c r="C336">
        <v>9</v>
      </c>
      <c r="D336" t="s">
        <v>15</v>
      </c>
      <c r="E336" s="10">
        <v>2634</v>
      </c>
      <c r="F336" t="s">
        <v>20</v>
      </c>
    </row>
    <row r="337" spans="1:6" hidden="1" x14ac:dyDescent="0.2">
      <c r="A337">
        <v>40313</v>
      </c>
      <c r="B337" t="s">
        <v>19</v>
      </c>
      <c r="C337">
        <v>4</v>
      </c>
      <c r="D337" t="s">
        <v>15</v>
      </c>
      <c r="E337">
        <v>374</v>
      </c>
      <c r="F337" t="s">
        <v>24</v>
      </c>
    </row>
    <row r="338" spans="1:6" x14ac:dyDescent="0.2">
      <c r="A338">
        <v>72424</v>
      </c>
      <c r="B338" t="s">
        <v>17</v>
      </c>
      <c r="C338">
        <v>34</v>
      </c>
      <c r="D338" t="s">
        <v>15</v>
      </c>
      <c r="E338" s="10">
        <v>45409</v>
      </c>
      <c r="F338" t="s">
        <v>20</v>
      </c>
    </row>
    <row r="339" spans="1:6" x14ac:dyDescent="0.2">
      <c r="A339">
        <v>72606</v>
      </c>
      <c r="B339" t="s">
        <v>21</v>
      </c>
      <c r="C339">
        <v>18</v>
      </c>
      <c r="D339" t="s">
        <v>15</v>
      </c>
      <c r="E339" s="10">
        <v>3829</v>
      </c>
      <c r="F339" t="s">
        <v>20</v>
      </c>
    </row>
    <row r="340" spans="1:6" x14ac:dyDescent="0.2">
      <c r="A340">
        <v>72893</v>
      </c>
      <c r="B340" t="s">
        <v>14</v>
      </c>
      <c r="C340">
        <v>16</v>
      </c>
      <c r="D340" t="s">
        <v>15</v>
      </c>
      <c r="E340" s="10">
        <v>3060</v>
      </c>
      <c r="F340" t="s">
        <v>20</v>
      </c>
    </row>
    <row r="341" spans="1:6" x14ac:dyDescent="0.2">
      <c r="A341">
        <v>72903</v>
      </c>
      <c r="B341" t="s">
        <v>19</v>
      </c>
      <c r="C341">
        <v>5</v>
      </c>
      <c r="D341" t="s">
        <v>15</v>
      </c>
      <c r="E341" s="10">
        <v>1702</v>
      </c>
      <c r="F341" t="s">
        <v>20</v>
      </c>
    </row>
    <row r="342" spans="1:6" x14ac:dyDescent="0.2">
      <c r="A342">
        <v>72982</v>
      </c>
      <c r="B342" t="s">
        <v>21</v>
      </c>
      <c r="C342">
        <v>21</v>
      </c>
      <c r="D342" t="s">
        <v>18</v>
      </c>
      <c r="E342" s="10">
        <v>6977</v>
      </c>
      <c r="F342" t="s">
        <v>20</v>
      </c>
    </row>
    <row r="343" spans="1:6" x14ac:dyDescent="0.2">
      <c r="A343">
        <v>73402</v>
      </c>
      <c r="B343" t="s">
        <v>14</v>
      </c>
      <c r="C343">
        <v>14</v>
      </c>
      <c r="D343" t="s">
        <v>15</v>
      </c>
      <c r="E343" s="10">
        <v>3633</v>
      </c>
      <c r="F343" t="s">
        <v>20</v>
      </c>
    </row>
    <row r="344" spans="1:6" x14ac:dyDescent="0.2">
      <c r="A344">
        <v>73569</v>
      </c>
      <c r="B344" t="s">
        <v>21</v>
      </c>
      <c r="C344">
        <v>18</v>
      </c>
      <c r="D344" t="s">
        <v>15</v>
      </c>
      <c r="E344" s="10">
        <v>12603</v>
      </c>
      <c r="F344" t="s">
        <v>20</v>
      </c>
    </row>
    <row r="345" spans="1:6" hidden="1" x14ac:dyDescent="0.2">
      <c r="A345">
        <v>41176</v>
      </c>
      <c r="B345" t="s">
        <v>17</v>
      </c>
      <c r="C345">
        <v>32</v>
      </c>
      <c r="D345" t="s">
        <v>18</v>
      </c>
      <c r="E345">
        <v>43545</v>
      </c>
      <c r="F345" t="s">
        <v>22</v>
      </c>
    </row>
    <row r="346" spans="1:6" x14ac:dyDescent="0.2">
      <c r="A346">
        <v>73758</v>
      </c>
      <c r="B346" t="s">
        <v>26</v>
      </c>
      <c r="C346">
        <v>6</v>
      </c>
      <c r="D346" t="s">
        <v>18</v>
      </c>
      <c r="E346" s="10">
        <v>3203</v>
      </c>
      <c r="F346" t="s">
        <v>20</v>
      </c>
    </row>
    <row r="347" spans="1:6" x14ac:dyDescent="0.2">
      <c r="A347">
        <v>73907</v>
      </c>
      <c r="B347" t="s">
        <v>26</v>
      </c>
      <c r="C347">
        <v>8</v>
      </c>
      <c r="D347" t="s">
        <v>15</v>
      </c>
      <c r="E347" s="10">
        <v>1609</v>
      </c>
      <c r="F347" t="s">
        <v>20</v>
      </c>
    </row>
    <row r="348" spans="1:6" x14ac:dyDescent="0.2">
      <c r="A348">
        <v>74044</v>
      </c>
      <c r="B348" t="s">
        <v>21</v>
      </c>
      <c r="C348">
        <v>18</v>
      </c>
      <c r="D348" t="s">
        <v>18</v>
      </c>
      <c r="E348" s="10">
        <v>11176</v>
      </c>
      <c r="F348" t="s">
        <v>20</v>
      </c>
    </row>
    <row r="349" spans="1:6" hidden="1" x14ac:dyDescent="0.2">
      <c r="A349">
        <v>42216</v>
      </c>
      <c r="B349" t="s">
        <v>21</v>
      </c>
      <c r="C349">
        <v>18</v>
      </c>
      <c r="D349" t="s">
        <v>18</v>
      </c>
      <c r="E349">
        <v>7878</v>
      </c>
      <c r="F349" t="s">
        <v>24</v>
      </c>
    </row>
    <row r="350" spans="1:6" x14ac:dyDescent="0.2">
      <c r="A350">
        <v>74272</v>
      </c>
      <c r="B350" t="s">
        <v>21</v>
      </c>
      <c r="C350">
        <v>19</v>
      </c>
      <c r="D350" t="s">
        <v>18</v>
      </c>
      <c r="E350" s="10">
        <v>11180</v>
      </c>
      <c r="F350" t="s">
        <v>20</v>
      </c>
    </row>
    <row r="351" spans="1:6" x14ac:dyDescent="0.2">
      <c r="A351">
        <v>74521</v>
      </c>
      <c r="B351" t="s">
        <v>26</v>
      </c>
      <c r="C351">
        <v>12</v>
      </c>
      <c r="D351" t="s">
        <v>18</v>
      </c>
      <c r="E351" s="10">
        <v>1416</v>
      </c>
      <c r="F351" t="s">
        <v>20</v>
      </c>
    </row>
    <row r="352" spans="1:6" x14ac:dyDescent="0.2">
      <c r="A352">
        <v>74523</v>
      </c>
      <c r="B352" t="s">
        <v>14</v>
      </c>
      <c r="C352">
        <v>15</v>
      </c>
      <c r="D352" t="s">
        <v>18</v>
      </c>
      <c r="E352" s="10">
        <v>3677</v>
      </c>
      <c r="F352" t="s">
        <v>20</v>
      </c>
    </row>
    <row r="353" spans="1:6" x14ac:dyDescent="0.2">
      <c r="A353">
        <v>74878</v>
      </c>
      <c r="B353" t="s">
        <v>26</v>
      </c>
      <c r="C353">
        <v>9</v>
      </c>
      <c r="D353" t="s">
        <v>18</v>
      </c>
      <c r="E353" s="10">
        <v>1661</v>
      </c>
      <c r="F353" t="s">
        <v>20</v>
      </c>
    </row>
    <row r="354" spans="1:6" x14ac:dyDescent="0.2">
      <c r="A354">
        <v>74924</v>
      </c>
      <c r="B354" t="s">
        <v>14</v>
      </c>
      <c r="C354">
        <v>17</v>
      </c>
      <c r="D354" t="s">
        <v>15</v>
      </c>
      <c r="E354" s="10">
        <v>5347</v>
      </c>
      <c r="F354" t="s">
        <v>20</v>
      </c>
    </row>
    <row r="355" spans="1:6" x14ac:dyDescent="0.2">
      <c r="A355">
        <v>74925</v>
      </c>
      <c r="B355" t="s">
        <v>14</v>
      </c>
      <c r="C355">
        <v>14</v>
      </c>
      <c r="D355" t="s">
        <v>15</v>
      </c>
      <c r="E355" s="10">
        <v>4378</v>
      </c>
      <c r="F355" t="s">
        <v>20</v>
      </c>
    </row>
    <row r="356" spans="1:6" hidden="1" x14ac:dyDescent="0.2">
      <c r="A356">
        <v>42593</v>
      </c>
      <c r="B356" t="s">
        <v>19</v>
      </c>
      <c r="C356">
        <v>0</v>
      </c>
      <c r="D356" t="s">
        <v>15</v>
      </c>
      <c r="E356">
        <v>1398</v>
      </c>
      <c r="F356" t="s">
        <v>22</v>
      </c>
    </row>
    <row r="357" spans="1:6" x14ac:dyDescent="0.2">
      <c r="A357">
        <v>75049</v>
      </c>
      <c r="B357" t="s">
        <v>17</v>
      </c>
      <c r="C357">
        <v>30</v>
      </c>
      <c r="D357" t="s">
        <v>15</v>
      </c>
      <c r="E357" s="10">
        <v>40572</v>
      </c>
      <c r="F357" t="s">
        <v>20</v>
      </c>
    </row>
    <row r="358" spans="1:6" x14ac:dyDescent="0.2">
      <c r="A358">
        <v>75138</v>
      </c>
      <c r="B358" t="s">
        <v>26</v>
      </c>
      <c r="C358">
        <v>11</v>
      </c>
      <c r="D358" t="s">
        <v>18</v>
      </c>
      <c r="E358" s="10">
        <v>793</v>
      </c>
      <c r="F358" t="s">
        <v>20</v>
      </c>
    </row>
    <row r="359" spans="1:6" x14ac:dyDescent="0.2">
      <c r="A359">
        <v>75607</v>
      </c>
      <c r="B359" t="s">
        <v>26</v>
      </c>
      <c r="C359">
        <v>10</v>
      </c>
      <c r="D359" t="s">
        <v>15</v>
      </c>
      <c r="E359" s="10">
        <v>2865</v>
      </c>
      <c r="F359" t="s">
        <v>20</v>
      </c>
    </row>
    <row r="360" spans="1:6" x14ac:dyDescent="0.2">
      <c r="A360">
        <v>75696</v>
      </c>
      <c r="B360" t="s">
        <v>19</v>
      </c>
      <c r="C360">
        <v>3</v>
      </c>
      <c r="D360" t="s">
        <v>15</v>
      </c>
      <c r="E360" s="10">
        <v>1167</v>
      </c>
      <c r="F360" t="s">
        <v>20</v>
      </c>
    </row>
    <row r="361" spans="1:6" x14ac:dyDescent="0.2">
      <c r="A361">
        <v>75806</v>
      </c>
      <c r="B361" t="s">
        <v>14</v>
      </c>
      <c r="C361">
        <v>15</v>
      </c>
      <c r="D361" t="s">
        <v>18</v>
      </c>
      <c r="E361" s="10">
        <v>5304</v>
      </c>
      <c r="F361" t="s">
        <v>20</v>
      </c>
    </row>
    <row r="362" spans="1:6" x14ac:dyDescent="0.2">
      <c r="A362">
        <v>76011</v>
      </c>
      <c r="B362" t="s">
        <v>26</v>
      </c>
      <c r="C362">
        <v>12</v>
      </c>
      <c r="D362" t="s">
        <v>18</v>
      </c>
      <c r="E362" s="10">
        <v>1776</v>
      </c>
      <c r="F362" t="s">
        <v>20</v>
      </c>
    </row>
    <row r="363" spans="1:6" x14ac:dyDescent="0.2">
      <c r="A363">
        <v>76065</v>
      </c>
      <c r="B363" t="s">
        <v>21</v>
      </c>
      <c r="C363">
        <v>20</v>
      </c>
      <c r="D363" t="s">
        <v>15</v>
      </c>
      <c r="E363" s="10">
        <v>15711</v>
      </c>
      <c r="F363" t="s">
        <v>20</v>
      </c>
    </row>
    <row r="364" spans="1:6" hidden="1" x14ac:dyDescent="0.2">
      <c r="A364">
        <v>43291</v>
      </c>
      <c r="B364" t="s">
        <v>26</v>
      </c>
      <c r="C364">
        <v>11</v>
      </c>
      <c r="D364" t="s">
        <v>18</v>
      </c>
      <c r="E364">
        <v>2140</v>
      </c>
      <c r="F364" t="s">
        <v>23</v>
      </c>
    </row>
    <row r="365" spans="1:6" x14ac:dyDescent="0.2">
      <c r="A365">
        <v>76344</v>
      </c>
      <c r="B365" t="s">
        <v>26</v>
      </c>
      <c r="C365">
        <v>12</v>
      </c>
      <c r="D365" t="s">
        <v>18</v>
      </c>
      <c r="E365" s="10">
        <v>3704</v>
      </c>
      <c r="F365" t="s">
        <v>20</v>
      </c>
    </row>
    <row r="366" spans="1:6" x14ac:dyDescent="0.2">
      <c r="A366">
        <v>76865</v>
      </c>
      <c r="B366" t="s">
        <v>21</v>
      </c>
      <c r="C366">
        <v>20</v>
      </c>
      <c r="D366" t="s">
        <v>18</v>
      </c>
      <c r="E366" s="10">
        <v>9162</v>
      </c>
      <c r="F366" t="s">
        <v>20</v>
      </c>
    </row>
    <row r="367" spans="1:6" x14ac:dyDescent="0.2">
      <c r="A367">
        <v>77155</v>
      </c>
      <c r="B367" t="s">
        <v>21</v>
      </c>
      <c r="C367">
        <v>19</v>
      </c>
      <c r="D367" t="s">
        <v>15</v>
      </c>
      <c r="E367" s="10">
        <v>9341</v>
      </c>
      <c r="F367" t="s">
        <v>20</v>
      </c>
    </row>
    <row r="368" spans="1:6" x14ac:dyDescent="0.2">
      <c r="A368">
        <v>77193</v>
      </c>
      <c r="B368" t="s">
        <v>17</v>
      </c>
      <c r="C368">
        <v>30</v>
      </c>
      <c r="D368" t="s">
        <v>18</v>
      </c>
      <c r="E368" s="10">
        <v>48121</v>
      </c>
      <c r="F368" t="s">
        <v>20</v>
      </c>
    </row>
    <row r="369" spans="1:6" hidden="1" x14ac:dyDescent="0.2">
      <c r="A369">
        <v>43574</v>
      </c>
      <c r="B369" t="s">
        <v>14</v>
      </c>
      <c r="C369">
        <v>13</v>
      </c>
      <c r="D369" t="s">
        <v>18</v>
      </c>
      <c r="E369">
        <v>4014</v>
      </c>
      <c r="F369" t="s">
        <v>24</v>
      </c>
    </row>
    <row r="370" spans="1:6" x14ac:dyDescent="0.2">
      <c r="A370">
        <v>77596</v>
      </c>
      <c r="B370" t="s">
        <v>17</v>
      </c>
      <c r="C370">
        <v>24</v>
      </c>
      <c r="D370" t="s">
        <v>18</v>
      </c>
      <c r="E370" s="10">
        <v>37367</v>
      </c>
      <c r="F370" t="s">
        <v>20</v>
      </c>
    </row>
    <row r="371" spans="1:6" x14ac:dyDescent="0.2">
      <c r="A371">
        <v>77607</v>
      </c>
      <c r="B371" t="s">
        <v>14</v>
      </c>
      <c r="C371">
        <v>15</v>
      </c>
      <c r="D371" t="s">
        <v>15</v>
      </c>
      <c r="E371" s="10">
        <v>4260</v>
      </c>
      <c r="F371" t="s">
        <v>20</v>
      </c>
    </row>
    <row r="372" spans="1:6" x14ac:dyDescent="0.2">
      <c r="A372">
        <v>77654</v>
      </c>
      <c r="B372" t="s">
        <v>19</v>
      </c>
      <c r="C372">
        <v>0</v>
      </c>
      <c r="D372" t="s">
        <v>15</v>
      </c>
      <c r="E372" s="10">
        <v>1458</v>
      </c>
      <c r="F372" t="s">
        <v>20</v>
      </c>
    </row>
    <row r="373" spans="1:6" x14ac:dyDescent="0.2">
      <c r="A373">
        <v>77916</v>
      </c>
      <c r="B373" t="s">
        <v>26</v>
      </c>
      <c r="C373">
        <v>6</v>
      </c>
      <c r="D373" t="s">
        <v>15</v>
      </c>
      <c r="E373" s="10">
        <v>1804</v>
      </c>
      <c r="F373" t="s">
        <v>20</v>
      </c>
    </row>
    <row r="374" spans="1:6" hidden="1" x14ac:dyDescent="0.2">
      <c r="A374">
        <v>43768</v>
      </c>
      <c r="B374" t="s">
        <v>26</v>
      </c>
      <c r="C374">
        <v>12</v>
      </c>
      <c r="D374" t="s">
        <v>18</v>
      </c>
      <c r="E374">
        <v>3196</v>
      </c>
      <c r="F374" t="s">
        <v>24</v>
      </c>
    </row>
    <row r="375" spans="1:6" x14ac:dyDescent="0.2">
      <c r="A375">
        <v>78026</v>
      </c>
      <c r="B375" t="s">
        <v>26</v>
      </c>
      <c r="C375">
        <v>10</v>
      </c>
      <c r="D375" t="s">
        <v>15</v>
      </c>
      <c r="E375" s="10">
        <v>1934</v>
      </c>
      <c r="F375" t="s">
        <v>20</v>
      </c>
    </row>
    <row r="376" spans="1:6" x14ac:dyDescent="0.2">
      <c r="A376">
        <v>78364</v>
      </c>
      <c r="B376" t="s">
        <v>25</v>
      </c>
      <c r="C376">
        <v>75</v>
      </c>
      <c r="D376" t="s">
        <v>15</v>
      </c>
      <c r="E376" s="10">
        <v>65581</v>
      </c>
      <c r="F376" t="s">
        <v>20</v>
      </c>
    </row>
    <row r="377" spans="1:6" x14ac:dyDescent="0.2">
      <c r="A377">
        <v>79379</v>
      </c>
      <c r="B377" t="s">
        <v>17</v>
      </c>
      <c r="C377">
        <v>25</v>
      </c>
      <c r="D377" t="s">
        <v>15</v>
      </c>
      <c r="E377" s="10">
        <v>46437</v>
      </c>
      <c r="F377" t="s">
        <v>20</v>
      </c>
    </row>
    <row r="378" spans="1:6" x14ac:dyDescent="0.2">
      <c r="A378">
        <v>80142</v>
      </c>
      <c r="B378" t="s">
        <v>17</v>
      </c>
      <c r="C378">
        <v>27</v>
      </c>
      <c r="D378" t="s">
        <v>18</v>
      </c>
      <c r="E378" s="10">
        <v>37708</v>
      </c>
      <c r="F378" t="s">
        <v>20</v>
      </c>
    </row>
    <row r="379" spans="1:6" x14ac:dyDescent="0.2">
      <c r="A379">
        <v>80225</v>
      </c>
      <c r="B379" t="s">
        <v>26</v>
      </c>
      <c r="C379">
        <v>6</v>
      </c>
      <c r="D379" t="s">
        <v>15</v>
      </c>
      <c r="E379" s="10">
        <v>987</v>
      </c>
      <c r="F379" t="s">
        <v>20</v>
      </c>
    </row>
    <row r="380" spans="1:6" x14ac:dyDescent="0.2">
      <c r="A380">
        <v>80338</v>
      </c>
      <c r="B380" t="s">
        <v>26</v>
      </c>
      <c r="C380">
        <v>10</v>
      </c>
      <c r="D380" t="s">
        <v>15</v>
      </c>
      <c r="E380" s="10">
        <v>1590</v>
      </c>
      <c r="F380" t="s">
        <v>20</v>
      </c>
    </row>
    <row r="381" spans="1:6" x14ac:dyDescent="0.2">
      <c r="A381">
        <v>80439</v>
      </c>
      <c r="B381" t="s">
        <v>14</v>
      </c>
      <c r="C381">
        <v>17</v>
      </c>
      <c r="D381" t="s">
        <v>15</v>
      </c>
      <c r="E381" s="10">
        <v>4496</v>
      </c>
      <c r="F381" t="s">
        <v>20</v>
      </c>
    </row>
    <row r="382" spans="1:6" x14ac:dyDescent="0.2">
      <c r="A382">
        <v>80636</v>
      </c>
      <c r="B382" t="s">
        <v>21</v>
      </c>
      <c r="C382">
        <v>21</v>
      </c>
      <c r="D382" t="s">
        <v>18</v>
      </c>
      <c r="E382" s="10">
        <v>13468</v>
      </c>
      <c r="F382" t="s">
        <v>20</v>
      </c>
    </row>
    <row r="383" spans="1:6" x14ac:dyDescent="0.2">
      <c r="A383">
        <v>81488</v>
      </c>
      <c r="B383" t="s">
        <v>26</v>
      </c>
      <c r="C383">
        <v>11</v>
      </c>
      <c r="D383" t="s">
        <v>15</v>
      </c>
      <c r="E383" s="10">
        <v>1905</v>
      </c>
      <c r="F383" t="s">
        <v>20</v>
      </c>
    </row>
    <row r="384" spans="1:6" x14ac:dyDescent="0.2">
      <c r="A384">
        <v>81823</v>
      </c>
      <c r="B384" t="s">
        <v>14</v>
      </c>
      <c r="C384">
        <v>15</v>
      </c>
      <c r="D384" t="s">
        <v>15</v>
      </c>
      <c r="E384" s="10">
        <v>3251</v>
      </c>
      <c r="F384" t="s">
        <v>20</v>
      </c>
    </row>
    <row r="385" spans="1:6" x14ac:dyDescent="0.2">
      <c r="A385">
        <v>81913</v>
      </c>
      <c r="B385" t="s">
        <v>17</v>
      </c>
      <c r="C385">
        <v>30</v>
      </c>
      <c r="D385" t="s">
        <v>18</v>
      </c>
      <c r="E385" s="10">
        <v>42070</v>
      </c>
      <c r="F385" t="s">
        <v>20</v>
      </c>
    </row>
    <row r="386" spans="1:6" x14ac:dyDescent="0.2">
      <c r="A386">
        <v>81916</v>
      </c>
      <c r="B386" t="s">
        <v>17</v>
      </c>
      <c r="C386">
        <v>23</v>
      </c>
      <c r="D386" t="s">
        <v>18</v>
      </c>
      <c r="E386" s="10">
        <v>40159</v>
      </c>
      <c r="F386" t="s">
        <v>20</v>
      </c>
    </row>
    <row r="387" spans="1:6" x14ac:dyDescent="0.2">
      <c r="A387">
        <v>82126</v>
      </c>
      <c r="B387" t="s">
        <v>25</v>
      </c>
      <c r="C387">
        <v>53</v>
      </c>
      <c r="D387" t="s">
        <v>18</v>
      </c>
      <c r="E387" s="10">
        <v>50176</v>
      </c>
      <c r="F387" t="s">
        <v>20</v>
      </c>
    </row>
    <row r="388" spans="1:6" x14ac:dyDescent="0.2">
      <c r="A388">
        <v>82743</v>
      </c>
      <c r="B388" t="s">
        <v>21</v>
      </c>
      <c r="C388">
        <v>18</v>
      </c>
      <c r="D388" t="s">
        <v>15</v>
      </c>
      <c r="E388" s="10">
        <v>10439</v>
      </c>
      <c r="F388" t="s">
        <v>20</v>
      </c>
    </row>
    <row r="389" spans="1:6" hidden="1" x14ac:dyDescent="0.2">
      <c r="A389">
        <v>45476</v>
      </c>
      <c r="B389" t="s">
        <v>26</v>
      </c>
      <c r="C389">
        <v>9</v>
      </c>
      <c r="D389" t="s">
        <v>18</v>
      </c>
      <c r="E389">
        <v>2028</v>
      </c>
      <c r="F389" t="s">
        <v>24</v>
      </c>
    </row>
    <row r="390" spans="1:6" x14ac:dyDescent="0.2">
      <c r="A390">
        <v>82904</v>
      </c>
      <c r="B390" t="s">
        <v>21</v>
      </c>
      <c r="C390">
        <v>20</v>
      </c>
      <c r="D390" t="s">
        <v>15</v>
      </c>
      <c r="E390" s="10">
        <v>11810</v>
      </c>
      <c r="F390" t="s">
        <v>20</v>
      </c>
    </row>
    <row r="391" spans="1:6" hidden="1" x14ac:dyDescent="0.2">
      <c r="A391">
        <v>45540</v>
      </c>
      <c r="B391" t="s">
        <v>17</v>
      </c>
      <c r="C391">
        <v>27</v>
      </c>
      <c r="D391" t="s">
        <v>15</v>
      </c>
      <c r="E391">
        <v>37778</v>
      </c>
      <c r="F391" t="s">
        <v>24</v>
      </c>
    </row>
    <row r="392" spans="1:6" x14ac:dyDescent="0.2">
      <c r="A392">
        <v>82928</v>
      </c>
      <c r="B392" t="s">
        <v>17</v>
      </c>
      <c r="C392">
        <v>31</v>
      </c>
      <c r="D392" t="s">
        <v>18</v>
      </c>
      <c r="E392" s="10">
        <v>34021</v>
      </c>
      <c r="F392" t="s">
        <v>20</v>
      </c>
    </row>
    <row r="393" spans="1:6" x14ac:dyDescent="0.2">
      <c r="A393">
        <v>83149</v>
      </c>
      <c r="B393" t="s">
        <v>25</v>
      </c>
      <c r="C393">
        <v>70</v>
      </c>
      <c r="D393" t="s">
        <v>18</v>
      </c>
      <c r="E393" s="10">
        <v>50230</v>
      </c>
      <c r="F393" t="s">
        <v>20</v>
      </c>
    </row>
    <row r="394" spans="1:6" x14ac:dyDescent="0.2">
      <c r="A394">
        <v>83404</v>
      </c>
      <c r="B394" t="s">
        <v>21</v>
      </c>
      <c r="C394">
        <v>20</v>
      </c>
      <c r="D394" t="s">
        <v>18</v>
      </c>
      <c r="E394" s="10">
        <v>9932</v>
      </c>
      <c r="F394" t="s">
        <v>20</v>
      </c>
    </row>
    <row r="395" spans="1:6" hidden="1" x14ac:dyDescent="0.2">
      <c r="A395">
        <v>45755</v>
      </c>
      <c r="B395" t="s">
        <v>26</v>
      </c>
      <c r="C395">
        <v>11</v>
      </c>
      <c r="D395" t="s">
        <v>18</v>
      </c>
      <c r="E395">
        <v>1144</v>
      </c>
      <c r="F395" t="s">
        <v>23</v>
      </c>
    </row>
    <row r="396" spans="1:6" x14ac:dyDescent="0.2">
      <c r="A396">
        <v>84362</v>
      </c>
      <c r="B396" t="s">
        <v>26</v>
      </c>
      <c r="C396">
        <v>6</v>
      </c>
      <c r="D396" t="s">
        <v>18</v>
      </c>
      <c r="E396" s="10">
        <v>2924</v>
      </c>
      <c r="F396" t="s">
        <v>20</v>
      </c>
    </row>
    <row r="397" spans="1:6" x14ac:dyDescent="0.2">
      <c r="A397">
        <v>84436</v>
      </c>
      <c r="B397" t="s">
        <v>17</v>
      </c>
      <c r="C397">
        <v>24</v>
      </c>
      <c r="D397" t="s">
        <v>15</v>
      </c>
      <c r="E397" s="10">
        <v>37663</v>
      </c>
      <c r="F397" t="s">
        <v>20</v>
      </c>
    </row>
    <row r="398" spans="1:6" x14ac:dyDescent="0.2">
      <c r="A398">
        <v>84833</v>
      </c>
      <c r="B398" t="s">
        <v>17</v>
      </c>
      <c r="C398">
        <v>25</v>
      </c>
      <c r="D398" t="s">
        <v>18</v>
      </c>
      <c r="E398" s="10">
        <v>31943</v>
      </c>
      <c r="F398" t="s">
        <v>20</v>
      </c>
    </row>
    <row r="399" spans="1:6" x14ac:dyDescent="0.2">
      <c r="A399">
        <v>85179</v>
      </c>
      <c r="B399" t="s">
        <v>17</v>
      </c>
      <c r="C399">
        <v>28</v>
      </c>
      <c r="D399" t="s">
        <v>18</v>
      </c>
      <c r="E399" s="10">
        <v>26178</v>
      </c>
      <c r="F399" t="s">
        <v>20</v>
      </c>
    </row>
    <row r="400" spans="1:6" x14ac:dyDescent="0.2">
      <c r="A400">
        <v>85301</v>
      </c>
      <c r="B400" t="s">
        <v>26</v>
      </c>
      <c r="C400">
        <v>12</v>
      </c>
      <c r="D400" t="s">
        <v>15</v>
      </c>
      <c r="E400" s="10">
        <v>3732</v>
      </c>
      <c r="F400" t="s">
        <v>20</v>
      </c>
    </row>
    <row r="401" spans="1:6" x14ac:dyDescent="0.2">
      <c r="A401">
        <v>85501</v>
      </c>
      <c r="B401" t="s">
        <v>21</v>
      </c>
      <c r="C401">
        <v>21</v>
      </c>
      <c r="D401" t="s">
        <v>15</v>
      </c>
      <c r="E401" s="10">
        <v>8957</v>
      </c>
      <c r="F401" t="s">
        <v>20</v>
      </c>
    </row>
    <row r="402" spans="1:6" x14ac:dyDescent="0.2">
      <c r="A402">
        <v>85633</v>
      </c>
      <c r="B402" t="s">
        <v>14</v>
      </c>
      <c r="C402">
        <v>14</v>
      </c>
      <c r="D402" t="s">
        <v>15</v>
      </c>
      <c r="E402" s="10">
        <v>5280</v>
      </c>
      <c r="F402" t="s">
        <v>20</v>
      </c>
    </row>
    <row r="403" spans="1:6" hidden="1" x14ac:dyDescent="0.2">
      <c r="A403">
        <v>46272</v>
      </c>
      <c r="B403" t="s">
        <v>17</v>
      </c>
      <c r="C403">
        <v>32</v>
      </c>
      <c r="D403" t="s">
        <v>15</v>
      </c>
      <c r="E403">
        <v>37697</v>
      </c>
      <c r="F403" t="s">
        <v>22</v>
      </c>
    </row>
    <row r="404" spans="1:6" x14ac:dyDescent="0.2">
      <c r="A404">
        <v>86084</v>
      </c>
      <c r="B404" t="s">
        <v>21</v>
      </c>
      <c r="C404">
        <v>20</v>
      </c>
      <c r="D404" t="s">
        <v>15</v>
      </c>
      <c r="E404" s="10">
        <v>3749</v>
      </c>
      <c r="F404" t="s">
        <v>20</v>
      </c>
    </row>
    <row r="405" spans="1:6" x14ac:dyDescent="0.2">
      <c r="A405">
        <v>86328</v>
      </c>
      <c r="B405" t="s">
        <v>26</v>
      </c>
      <c r="C405">
        <v>9</v>
      </c>
      <c r="D405" t="s">
        <v>15</v>
      </c>
      <c r="E405" s="10">
        <v>1416</v>
      </c>
      <c r="F405" t="s">
        <v>20</v>
      </c>
    </row>
    <row r="406" spans="1:6" x14ac:dyDescent="0.2">
      <c r="A406">
        <v>86565</v>
      </c>
      <c r="B406" t="s">
        <v>21</v>
      </c>
      <c r="C406">
        <v>19</v>
      </c>
      <c r="D406" t="s">
        <v>18</v>
      </c>
      <c r="E406" s="10">
        <v>9760</v>
      </c>
      <c r="F406" t="s">
        <v>20</v>
      </c>
    </row>
    <row r="407" spans="1:6" hidden="1" x14ac:dyDescent="0.2">
      <c r="A407">
        <v>46637</v>
      </c>
      <c r="B407" t="s">
        <v>17</v>
      </c>
      <c r="C407">
        <v>26</v>
      </c>
      <c r="D407" t="s">
        <v>18</v>
      </c>
      <c r="E407">
        <v>41144</v>
      </c>
      <c r="F407" t="s">
        <v>24</v>
      </c>
    </row>
    <row r="408" spans="1:6" x14ac:dyDescent="0.2">
      <c r="A408">
        <v>87143</v>
      </c>
      <c r="B408" t="s">
        <v>14</v>
      </c>
      <c r="C408">
        <v>17</v>
      </c>
      <c r="D408" t="s">
        <v>15</v>
      </c>
      <c r="E408" s="10">
        <v>3747</v>
      </c>
      <c r="F408" t="s">
        <v>20</v>
      </c>
    </row>
    <row r="409" spans="1:6" hidden="1" x14ac:dyDescent="0.2">
      <c r="A409">
        <v>46876</v>
      </c>
      <c r="B409" t="s">
        <v>25</v>
      </c>
      <c r="C409">
        <v>66</v>
      </c>
      <c r="D409" t="s">
        <v>18</v>
      </c>
      <c r="E409">
        <v>49056</v>
      </c>
      <c r="F409" t="s">
        <v>22</v>
      </c>
    </row>
    <row r="410" spans="1:6" x14ac:dyDescent="0.2">
      <c r="A410">
        <v>87697</v>
      </c>
      <c r="B410" t="s">
        <v>14</v>
      </c>
      <c r="C410">
        <v>17</v>
      </c>
      <c r="D410" t="s">
        <v>15</v>
      </c>
      <c r="E410" s="10">
        <v>4221</v>
      </c>
      <c r="F410" t="s">
        <v>20</v>
      </c>
    </row>
    <row r="411" spans="1:6" x14ac:dyDescent="0.2">
      <c r="A411">
        <v>87869</v>
      </c>
      <c r="B411" t="s">
        <v>26</v>
      </c>
      <c r="C411">
        <v>10</v>
      </c>
      <c r="D411" t="s">
        <v>15</v>
      </c>
      <c r="E411" s="10">
        <v>3060</v>
      </c>
      <c r="F411" t="s">
        <v>20</v>
      </c>
    </row>
    <row r="412" spans="1:6" hidden="1" x14ac:dyDescent="0.2">
      <c r="A412">
        <v>47043</v>
      </c>
      <c r="B412" t="s">
        <v>17</v>
      </c>
      <c r="C412">
        <v>25</v>
      </c>
      <c r="D412" t="s">
        <v>18</v>
      </c>
      <c r="E412">
        <v>38619</v>
      </c>
      <c r="F412" t="s">
        <v>23</v>
      </c>
    </row>
    <row r="413" spans="1:6" hidden="1" x14ac:dyDescent="0.2">
      <c r="A413">
        <v>47059</v>
      </c>
      <c r="B413" t="s">
        <v>17</v>
      </c>
      <c r="C413">
        <v>30</v>
      </c>
      <c r="D413" t="s">
        <v>18</v>
      </c>
      <c r="E413">
        <v>44910</v>
      </c>
      <c r="F413" t="s">
        <v>22</v>
      </c>
    </row>
    <row r="414" spans="1:6" x14ac:dyDescent="0.2">
      <c r="A414">
        <v>88118</v>
      </c>
      <c r="B414" t="s">
        <v>21</v>
      </c>
      <c r="C414">
        <v>19</v>
      </c>
      <c r="D414" t="s">
        <v>15</v>
      </c>
      <c r="E414" s="10">
        <v>12523</v>
      </c>
      <c r="F414" t="s">
        <v>20</v>
      </c>
    </row>
    <row r="415" spans="1:6" x14ac:dyDescent="0.2">
      <c r="A415">
        <v>88284</v>
      </c>
      <c r="B415" t="s">
        <v>26</v>
      </c>
      <c r="C415">
        <v>11</v>
      </c>
      <c r="D415" t="s">
        <v>18</v>
      </c>
      <c r="E415" s="10">
        <v>2839</v>
      </c>
      <c r="F415" t="s">
        <v>20</v>
      </c>
    </row>
    <row r="416" spans="1:6" hidden="1" x14ac:dyDescent="0.2">
      <c r="A416">
        <v>47553</v>
      </c>
      <c r="B416" t="s">
        <v>14</v>
      </c>
      <c r="C416">
        <v>16</v>
      </c>
      <c r="D416" t="s">
        <v>18</v>
      </c>
      <c r="E416">
        <v>4067</v>
      </c>
      <c r="F416" t="s">
        <v>24</v>
      </c>
    </row>
    <row r="417" spans="1:6" hidden="1" x14ac:dyDescent="0.2">
      <c r="A417">
        <v>47748</v>
      </c>
      <c r="B417" t="s">
        <v>14</v>
      </c>
      <c r="C417">
        <v>17</v>
      </c>
      <c r="D417" t="s">
        <v>18</v>
      </c>
      <c r="E417">
        <v>4918</v>
      </c>
      <c r="F417" t="s">
        <v>22</v>
      </c>
    </row>
    <row r="418" spans="1:6" hidden="1" x14ac:dyDescent="0.2">
      <c r="A418">
        <v>47809</v>
      </c>
      <c r="B418" t="s">
        <v>17</v>
      </c>
      <c r="C418">
        <v>31</v>
      </c>
      <c r="D418" t="s">
        <v>15</v>
      </c>
      <c r="E418">
        <v>47778</v>
      </c>
      <c r="F418" t="s">
        <v>24</v>
      </c>
    </row>
    <row r="419" spans="1:6" x14ac:dyDescent="0.2">
      <c r="A419">
        <v>88739</v>
      </c>
      <c r="B419" t="s">
        <v>26</v>
      </c>
      <c r="C419">
        <v>8</v>
      </c>
      <c r="D419" t="s">
        <v>15</v>
      </c>
      <c r="E419" s="10">
        <v>1714</v>
      </c>
      <c r="F419" t="s">
        <v>20</v>
      </c>
    </row>
    <row r="420" spans="1:6" x14ac:dyDescent="0.2">
      <c r="A420">
        <v>89108</v>
      </c>
      <c r="B420" t="s">
        <v>26</v>
      </c>
      <c r="C420">
        <v>7</v>
      </c>
      <c r="D420" t="s">
        <v>15</v>
      </c>
      <c r="E420" s="10">
        <v>1875</v>
      </c>
      <c r="F420" t="s">
        <v>20</v>
      </c>
    </row>
    <row r="421" spans="1:6" x14ac:dyDescent="0.2">
      <c r="A421">
        <v>89132</v>
      </c>
      <c r="B421" t="s">
        <v>21</v>
      </c>
      <c r="C421">
        <v>21</v>
      </c>
      <c r="D421" t="s">
        <v>18</v>
      </c>
      <c r="E421" s="10">
        <v>8707</v>
      </c>
      <c r="F421" t="s">
        <v>20</v>
      </c>
    </row>
    <row r="422" spans="1:6" hidden="1" x14ac:dyDescent="0.2">
      <c r="A422">
        <v>48101</v>
      </c>
      <c r="B422" t="s">
        <v>14</v>
      </c>
      <c r="C422">
        <v>15</v>
      </c>
      <c r="D422" t="s">
        <v>15</v>
      </c>
      <c r="E422">
        <v>3728</v>
      </c>
      <c r="F422" t="s">
        <v>24</v>
      </c>
    </row>
    <row r="423" spans="1:6" x14ac:dyDescent="0.2">
      <c r="A423">
        <v>89286</v>
      </c>
      <c r="B423" t="s">
        <v>26</v>
      </c>
      <c r="C423">
        <v>8</v>
      </c>
      <c r="D423" t="s">
        <v>15</v>
      </c>
      <c r="E423" s="10">
        <v>2717</v>
      </c>
      <c r="F423" t="s">
        <v>20</v>
      </c>
    </row>
    <row r="424" spans="1:6" hidden="1" x14ac:dyDescent="0.2">
      <c r="A424">
        <v>48328</v>
      </c>
      <c r="B424" t="s">
        <v>25</v>
      </c>
      <c r="C424">
        <v>81</v>
      </c>
      <c r="D424" t="s">
        <v>15</v>
      </c>
      <c r="E424">
        <v>75098</v>
      </c>
      <c r="F424" t="s">
        <v>24</v>
      </c>
    </row>
    <row r="425" spans="1:6" x14ac:dyDescent="0.2">
      <c r="A425">
        <v>89316</v>
      </c>
      <c r="B425" t="s">
        <v>19</v>
      </c>
      <c r="C425">
        <v>5</v>
      </c>
      <c r="D425" t="s">
        <v>15</v>
      </c>
      <c r="E425" s="10">
        <v>1684</v>
      </c>
      <c r="F425" t="s">
        <v>20</v>
      </c>
    </row>
    <row r="426" spans="1:6" hidden="1" x14ac:dyDescent="0.2">
      <c r="A426">
        <v>48653</v>
      </c>
      <c r="B426" t="s">
        <v>26</v>
      </c>
      <c r="C426">
        <v>7</v>
      </c>
      <c r="D426" t="s">
        <v>18</v>
      </c>
      <c r="E426">
        <v>1974</v>
      </c>
      <c r="F426" t="s">
        <v>24</v>
      </c>
    </row>
    <row r="427" spans="1:6" hidden="1" x14ac:dyDescent="0.2">
      <c r="A427">
        <v>48882</v>
      </c>
      <c r="B427" t="s">
        <v>21</v>
      </c>
      <c r="C427">
        <v>21</v>
      </c>
      <c r="D427" t="s">
        <v>18</v>
      </c>
      <c r="E427">
        <v>12259</v>
      </c>
      <c r="F427" t="s">
        <v>22</v>
      </c>
    </row>
    <row r="428" spans="1:6" hidden="1" x14ac:dyDescent="0.2">
      <c r="A428">
        <v>48938</v>
      </c>
      <c r="B428" t="s">
        <v>17</v>
      </c>
      <c r="C428">
        <v>39</v>
      </c>
      <c r="D428" t="s">
        <v>18</v>
      </c>
      <c r="E428">
        <v>36576</v>
      </c>
      <c r="F428" t="s">
        <v>22</v>
      </c>
    </row>
    <row r="429" spans="1:6" x14ac:dyDescent="0.2">
      <c r="A429">
        <v>89925</v>
      </c>
      <c r="B429" t="s">
        <v>21</v>
      </c>
      <c r="C429">
        <v>19</v>
      </c>
      <c r="D429" t="s">
        <v>15</v>
      </c>
      <c r="E429" s="10">
        <v>5988</v>
      </c>
      <c r="F429" t="s">
        <v>20</v>
      </c>
    </row>
    <row r="430" spans="1:6" x14ac:dyDescent="0.2">
      <c r="A430">
        <v>90151</v>
      </c>
      <c r="B430" t="s">
        <v>14</v>
      </c>
      <c r="C430">
        <v>16</v>
      </c>
      <c r="D430" t="s">
        <v>15</v>
      </c>
      <c r="E430" s="10">
        <v>3702</v>
      </c>
      <c r="F430" t="s">
        <v>20</v>
      </c>
    </row>
    <row r="431" spans="1:6" x14ac:dyDescent="0.2">
      <c r="A431">
        <v>90220</v>
      </c>
      <c r="B431" t="s">
        <v>14</v>
      </c>
      <c r="C431">
        <v>13</v>
      </c>
      <c r="D431" t="s">
        <v>15</v>
      </c>
      <c r="E431" s="10">
        <v>3887</v>
      </c>
      <c r="F431" t="s">
        <v>20</v>
      </c>
    </row>
    <row r="432" spans="1:6" x14ac:dyDescent="0.2">
      <c r="A432">
        <v>90239</v>
      </c>
      <c r="B432" t="s">
        <v>21</v>
      </c>
      <c r="C432">
        <v>18</v>
      </c>
      <c r="D432" t="s">
        <v>15</v>
      </c>
      <c r="E432" s="10">
        <v>13730</v>
      </c>
      <c r="F432" t="s">
        <v>20</v>
      </c>
    </row>
    <row r="433" spans="1:6" x14ac:dyDescent="0.2">
      <c r="A433">
        <v>91011</v>
      </c>
      <c r="B433" t="s">
        <v>17</v>
      </c>
      <c r="C433">
        <v>32</v>
      </c>
      <c r="D433" t="s">
        <v>15</v>
      </c>
      <c r="E433" s="10">
        <v>35435</v>
      </c>
      <c r="F433" t="s">
        <v>20</v>
      </c>
    </row>
    <row r="434" spans="1:6" x14ac:dyDescent="0.2">
      <c r="A434">
        <v>91064</v>
      </c>
      <c r="B434" t="s">
        <v>21</v>
      </c>
      <c r="C434">
        <v>21</v>
      </c>
      <c r="D434" t="s">
        <v>18</v>
      </c>
      <c r="E434" s="10">
        <v>6904</v>
      </c>
      <c r="F434" t="s">
        <v>20</v>
      </c>
    </row>
    <row r="435" spans="1:6" hidden="1" x14ac:dyDescent="0.2">
      <c r="A435">
        <v>49533</v>
      </c>
      <c r="B435" t="s">
        <v>21</v>
      </c>
      <c r="C435">
        <v>18</v>
      </c>
      <c r="D435" t="s">
        <v>18</v>
      </c>
      <c r="E435">
        <v>3153</v>
      </c>
      <c r="F435" t="s">
        <v>24</v>
      </c>
    </row>
    <row r="436" spans="1:6" hidden="1" x14ac:dyDescent="0.2">
      <c r="A436">
        <v>49598</v>
      </c>
      <c r="B436" t="s">
        <v>25</v>
      </c>
      <c r="C436">
        <v>65</v>
      </c>
      <c r="D436" t="s">
        <v>18</v>
      </c>
      <c r="E436">
        <v>52076</v>
      </c>
      <c r="F436" t="s">
        <v>24</v>
      </c>
    </row>
    <row r="437" spans="1:6" x14ac:dyDescent="0.2">
      <c r="A437">
        <v>91756</v>
      </c>
      <c r="B437" t="s">
        <v>14</v>
      </c>
      <c r="C437">
        <v>14</v>
      </c>
      <c r="D437" t="s">
        <v>18</v>
      </c>
      <c r="E437" s="10">
        <v>3703</v>
      </c>
      <c r="F437" t="s">
        <v>20</v>
      </c>
    </row>
    <row r="438" spans="1:6" x14ac:dyDescent="0.2">
      <c r="A438">
        <v>91966</v>
      </c>
      <c r="B438" t="s">
        <v>14</v>
      </c>
      <c r="C438">
        <v>14</v>
      </c>
      <c r="D438" t="s">
        <v>18</v>
      </c>
      <c r="E438" s="10">
        <v>3319</v>
      </c>
      <c r="F438" t="s">
        <v>20</v>
      </c>
    </row>
    <row r="439" spans="1:6" hidden="1" x14ac:dyDescent="0.2">
      <c r="A439">
        <v>49889</v>
      </c>
      <c r="B439" t="s">
        <v>14</v>
      </c>
      <c r="C439">
        <v>16</v>
      </c>
      <c r="D439" t="s">
        <v>15</v>
      </c>
      <c r="E439">
        <v>4949</v>
      </c>
      <c r="F439" t="s">
        <v>22</v>
      </c>
    </row>
    <row r="440" spans="1:6" x14ac:dyDescent="0.2">
      <c r="A440">
        <v>92055</v>
      </c>
      <c r="B440" t="s">
        <v>14</v>
      </c>
      <c r="C440">
        <v>17</v>
      </c>
      <c r="D440" t="s">
        <v>15</v>
      </c>
      <c r="E440" s="10">
        <v>3478</v>
      </c>
      <c r="F440" t="s">
        <v>20</v>
      </c>
    </row>
    <row r="441" spans="1:6" hidden="1" x14ac:dyDescent="0.2">
      <c r="A441">
        <v>50053</v>
      </c>
      <c r="B441" t="s">
        <v>21</v>
      </c>
      <c r="C441">
        <v>18</v>
      </c>
      <c r="D441" t="s">
        <v>15</v>
      </c>
      <c r="E441">
        <v>11125</v>
      </c>
      <c r="F441" t="s">
        <v>24</v>
      </c>
    </row>
    <row r="442" spans="1:6" x14ac:dyDescent="0.2">
      <c r="A442">
        <v>92198</v>
      </c>
      <c r="B442" t="s">
        <v>14</v>
      </c>
      <c r="C442">
        <v>17</v>
      </c>
      <c r="D442" t="s">
        <v>18</v>
      </c>
      <c r="E442" s="10">
        <v>4791</v>
      </c>
      <c r="F442" t="s">
        <v>20</v>
      </c>
    </row>
    <row r="443" spans="1:6" x14ac:dyDescent="0.2">
      <c r="A443">
        <v>92207</v>
      </c>
      <c r="B443" t="s">
        <v>26</v>
      </c>
      <c r="C443">
        <v>6</v>
      </c>
      <c r="D443" t="s">
        <v>18</v>
      </c>
      <c r="E443" s="10">
        <v>1898</v>
      </c>
      <c r="F443" t="s">
        <v>20</v>
      </c>
    </row>
    <row r="444" spans="1:6" x14ac:dyDescent="0.2">
      <c r="A444">
        <v>92628</v>
      </c>
      <c r="B444" t="s">
        <v>17</v>
      </c>
      <c r="C444">
        <v>33</v>
      </c>
      <c r="D444" t="s">
        <v>18</v>
      </c>
      <c r="E444" s="10">
        <v>40517</v>
      </c>
      <c r="F444" t="s">
        <v>20</v>
      </c>
    </row>
    <row r="445" spans="1:6" hidden="1" x14ac:dyDescent="0.2">
      <c r="A445">
        <v>50222</v>
      </c>
      <c r="B445" t="s">
        <v>21</v>
      </c>
      <c r="C445">
        <v>19</v>
      </c>
      <c r="D445" t="s">
        <v>15</v>
      </c>
      <c r="E445">
        <v>7564</v>
      </c>
      <c r="F445" t="s">
        <v>23</v>
      </c>
    </row>
    <row r="446" spans="1:6" x14ac:dyDescent="0.2">
      <c r="A446">
        <v>92718</v>
      </c>
      <c r="B446" t="s">
        <v>26</v>
      </c>
      <c r="C446">
        <v>6</v>
      </c>
      <c r="D446" t="s">
        <v>18</v>
      </c>
      <c r="E446" s="10">
        <v>1997</v>
      </c>
      <c r="F446" t="s">
        <v>20</v>
      </c>
    </row>
    <row r="447" spans="1:6" x14ac:dyDescent="0.2">
      <c r="A447">
        <v>92766</v>
      </c>
      <c r="B447" t="s">
        <v>26</v>
      </c>
      <c r="C447">
        <v>8</v>
      </c>
      <c r="D447" t="s">
        <v>15</v>
      </c>
      <c r="E447" s="10">
        <v>1189</v>
      </c>
      <c r="F447" t="s">
        <v>20</v>
      </c>
    </row>
    <row r="448" spans="1:6" x14ac:dyDescent="0.2">
      <c r="A448">
        <v>93495</v>
      </c>
      <c r="B448" t="s">
        <v>26</v>
      </c>
      <c r="C448">
        <v>10</v>
      </c>
      <c r="D448" t="s">
        <v>15</v>
      </c>
      <c r="E448" s="10">
        <v>2484</v>
      </c>
      <c r="F448" t="s">
        <v>20</v>
      </c>
    </row>
    <row r="449" spans="1:6" x14ac:dyDescent="0.2">
      <c r="A449">
        <v>93763</v>
      </c>
      <c r="B449" t="s">
        <v>26</v>
      </c>
      <c r="C449">
        <v>8</v>
      </c>
      <c r="D449" t="s">
        <v>18</v>
      </c>
      <c r="E449" s="10">
        <v>2430</v>
      </c>
      <c r="F449" t="s">
        <v>20</v>
      </c>
    </row>
    <row r="450" spans="1:6" x14ac:dyDescent="0.2">
      <c r="A450">
        <v>93871</v>
      </c>
      <c r="B450" t="s">
        <v>14</v>
      </c>
      <c r="C450">
        <v>14</v>
      </c>
      <c r="D450" t="s">
        <v>15</v>
      </c>
      <c r="E450" s="10">
        <v>3792</v>
      </c>
      <c r="F450" t="s">
        <v>20</v>
      </c>
    </row>
    <row r="451" spans="1:6" hidden="1" x14ac:dyDescent="0.2">
      <c r="A451">
        <v>50674</v>
      </c>
      <c r="B451" t="s">
        <v>21</v>
      </c>
      <c r="C451">
        <v>20</v>
      </c>
      <c r="D451" t="s">
        <v>18</v>
      </c>
      <c r="E451">
        <v>9369</v>
      </c>
      <c r="F451" t="s">
        <v>24</v>
      </c>
    </row>
    <row r="452" spans="1:6" x14ac:dyDescent="0.2">
      <c r="A452">
        <v>94442</v>
      </c>
      <c r="B452" t="s">
        <v>26</v>
      </c>
      <c r="C452">
        <v>11</v>
      </c>
      <c r="D452" t="s">
        <v>18</v>
      </c>
      <c r="E452" s="10">
        <v>2212</v>
      </c>
      <c r="F452" t="s">
        <v>20</v>
      </c>
    </row>
    <row r="453" spans="1:6" hidden="1" x14ac:dyDescent="0.2">
      <c r="A453">
        <v>50849</v>
      </c>
      <c r="B453" t="s">
        <v>17</v>
      </c>
      <c r="C453">
        <v>25</v>
      </c>
      <c r="D453" t="s">
        <v>15</v>
      </c>
      <c r="E453">
        <v>48021</v>
      </c>
      <c r="F453" t="s">
        <v>22</v>
      </c>
    </row>
    <row r="454" spans="1:6" x14ac:dyDescent="0.2">
      <c r="A454">
        <v>94503</v>
      </c>
      <c r="B454" t="s">
        <v>19</v>
      </c>
      <c r="C454">
        <v>0</v>
      </c>
      <c r="D454" t="s">
        <v>18</v>
      </c>
      <c r="E454" s="10">
        <v>1360</v>
      </c>
      <c r="F454" t="s">
        <v>20</v>
      </c>
    </row>
    <row r="455" spans="1:6" x14ac:dyDescent="0.2">
      <c r="A455">
        <v>94785</v>
      </c>
      <c r="B455" t="s">
        <v>14</v>
      </c>
      <c r="C455">
        <v>14</v>
      </c>
      <c r="D455" t="s">
        <v>18</v>
      </c>
      <c r="E455" s="10">
        <v>4680</v>
      </c>
      <c r="F455" t="s">
        <v>20</v>
      </c>
    </row>
    <row r="456" spans="1:6" x14ac:dyDescent="0.2">
      <c r="A456">
        <v>94819</v>
      </c>
      <c r="B456" t="s">
        <v>21</v>
      </c>
      <c r="C456">
        <v>20</v>
      </c>
      <c r="D456" t="s">
        <v>15</v>
      </c>
      <c r="E456" s="10">
        <v>14003</v>
      </c>
      <c r="F456" t="s">
        <v>20</v>
      </c>
    </row>
    <row r="457" spans="1:6" x14ac:dyDescent="0.2">
      <c r="A457">
        <v>94852</v>
      </c>
      <c r="B457" t="s">
        <v>19</v>
      </c>
      <c r="C457">
        <v>3</v>
      </c>
      <c r="D457" t="s">
        <v>15</v>
      </c>
      <c r="E457" s="10">
        <v>1485</v>
      </c>
      <c r="F457" t="s">
        <v>20</v>
      </c>
    </row>
    <row r="458" spans="1:6" x14ac:dyDescent="0.2">
      <c r="A458">
        <v>95673</v>
      </c>
      <c r="B458" t="s">
        <v>25</v>
      </c>
      <c r="C458">
        <v>60</v>
      </c>
      <c r="D458" t="s">
        <v>15</v>
      </c>
      <c r="E458" s="10">
        <v>62717</v>
      </c>
      <c r="F458" t="s">
        <v>20</v>
      </c>
    </row>
    <row r="459" spans="1:6" x14ac:dyDescent="0.2">
      <c r="A459">
        <v>95812</v>
      </c>
      <c r="B459" t="s">
        <v>17</v>
      </c>
      <c r="C459">
        <v>38</v>
      </c>
      <c r="D459" t="s">
        <v>15</v>
      </c>
      <c r="E459" s="10">
        <v>37378</v>
      </c>
      <c r="F459" t="s">
        <v>20</v>
      </c>
    </row>
    <row r="460" spans="1:6" x14ac:dyDescent="0.2">
      <c r="A460">
        <v>96081</v>
      </c>
      <c r="B460" t="s">
        <v>14</v>
      </c>
      <c r="C460">
        <v>16</v>
      </c>
      <c r="D460" t="s">
        <v>15</v>
      </c>
      <c r="E460" s="10">
        <v>2104</v>
      </c>
      <c r="F460" t="s">
        <v>20</v>
      </c>
    </row>
    <row r="461" spans="1:6" x14ac:dyDescent="0.2">
      <c r="A461">
        <v>96097</v>
      </c>
      <c r="B461" t="s">
        <v>19</v>
      </c>
      <c r="C461">
        <v>5</v>
      </c>
      <c r="D461" t="s">
        <v>15</v>
      </c>
      <c r="E461" s="10">
        <v>222</v>
      </c>
      <c r="F461" t="s">
        <v>20</v>
      </c>
    </row>
    <row r="462" spans="1:6" x14ac:dyDescent="0.2">
      <c r="A462">
        <v>96279</v>
      </c>
      <c r="B462" t="s">
        <v>19</v>
      </c>
      <c r="C462">
        <v>5</v>
      </c>
      <c r="D462" t="s">
        <v>15</v>
      </c>
      <c r="E462" s="10">
        <v>1003</v>
      </c>
      <c r="F462" t="s">
        <v>20</v>
      </c>
    </row>
    <row r="463" spans="1:6" x14ac:dyDescent="0.2">
      <c r="A463">
        <v>96367</v>
      </c>
      <c r="B463" t="s">
        <v>17</v>
      </c>
      <c r="C463">
        <v>26</v>
      </c>
      <c r="D463" t="s">
        <v>18</v>
      </c>
      <c r="E463" s="10">
        <v>36440</v>
      </c>
      <c r="F463" t="s">
        <v>20</v>
      </c>
    </row>
    <row r="464" spans="1:6" x14ac:dyDescent="0.2">
      <c r="A464">
        <v>96466</v>
      </c>
      <c r="B464" t="s">
        <v>14</v>
      </c>
      <c r="C464">
        <v>17</v>
      </c>
      <c r="D464" t="s">
        <v>15</v>
      </c>
      <c r="E464" s="10">
        <v>5241</v>
      </c>
      <c r="F464" t="s">
        <v>20</v>
      </c>
    </row>
    <row r="465" spans="1:6" hidden="1" x14ac:dyDescent="0.2">
      <c r="A465">
        <v>51954</v>
      </c>
      <c r="B465" t="s">
        <v>26</v>
      </c>
      <c r="C465">
        <v>6</v>
      </c>
      <c r="D465" t="s">
        <v>15</v>
      </c>
      <c r="E465">
        <v>1335</v>
      </c>
      <c r="F465" t="s">
        <v>24</v>
      </c>
    </row>
    <row r="466" spans="1:6" hidden="1" x14ac:dyDescent="0.2">
      <c r="A466">
        <v>52067</v>
      </c>
      <c r="B466" t="s">
        <v>26</v>
      </c>
      <c r="C466">
        <v>6</v>
      </c>
      <c r="D466" t="s">
        <v>15</v>
      </c>
      <c r="E466">
        <v>1790</v>
      </c>
      <c r="F466" t="s">
        <v>22</v>
      </c>
    </row>
    <row r="467" spans="1:6" hidden="1" x14ac:dyDescent="0.2">
      <c r="A467">
        <v>52073</v>
      </c>
      <c r="B467" t="s">
        <v>21</v>
      </c>
      <c r="C467">
        <v>19</v>
      </c>
      <c r="D467" t="s">
        <v>15</v>
      </c>
      <c r="E467">
        <v>10531</v>
      </c>
      <c r="F467" t="s">
        <v>24</v>
      </c>
    </row>
    <row r="468" spans="1:6" x14ac:dyDescent="0.2">
      <c r="A468">
        <v>97122</v>
      </c>
      <c r="B468" t="s">
        <v>17</v>
      </c>
      <c r="C468">
        <v>44</v>
      </c>
      <c r="D468" t="s">
        <v>18</v>
      </c>
      <c r="E468" s="10">
        <v>46144</v>
      </c>
      <c r="F468" t="s">
        <v>20</v>
      </c>
    </row>
    <row r="469" spans="1:6" x14ac:dyDescent="0.2">
      <c r="A469">
        <v>98015</v>
      </c>
      <c r="B469" t="s">
        <v>17</v>
      </c>
      <c r="C469">
        <v>46</v>
      </c>
      <c r="D469" t="s">
        <v>18</v>
      </c>
      <c r="E469" s="10">
        <v>52222</v>
      </c>
      <c r="F469" t="s">
        <v>20</v>
      </c>
    </row>
    <row r="470" spans="1:6" x14ac:dyDescent="0.2">
      <c r="A470">
        <v>98235</v>
      </c>
      <c r="B470" t="s">
        <v>17</v>
      </c>
      <c r="C470">
        <v>28</v>
      </c>
      <c r="D470" t="s">
        <v>18</v>
      </c>
      <c r="E470" s="10">
        <v>29588</v>
      </c>
      <c r="F470" t="s">
        <v>20</v>
      </c>
    </row>
    <row r="471" spans="1:6" x14ac:dyDescent="0.2">
      <c r="A471">
        <v>98562</v>
      </c>
      <c r="B471" t="s">
        <v>14</v>
      </c>
      <c r="C471">
        <v>15</v>
      </c>
      <c r="D471" t="s">
        <v>15</v>
      </c>
      <c r="E471" s="10">
        <v>3641</v>
      </c>
      <c r="F471" t="s">
        <v>20</v>
      </c>
    </row>
    <row r="472" spans="1:6" hidden="1" x14ac:dyDescent="0.2">
      <c r="A472">
        <v>52727</v>
      </c>
      <c r="B472" t="s">
        <v>17</v>
      </c>
      <c r="C472">
        <v>30</v>
      </c>
      <c r="D472" t="s">
        <v>18</v>
      </c>
      <c r="E472">
        <v>33721</v>
      </c>
      <c r="F472" t="s">
        <v>24</v>
      </c>
    </row>
    <row r="473" spans="1:6" x14ac:dyDescent="0.2">
      <c r="A473">
        <v>98683</v>
      </c>
      <c r="B473" t="s">
        <v>26</v>
      </c>
      <c r="C473">
        <v>8</v>
      </c>
      <c r="D473" t="s">
        <v>18</v>
      </c>
      <c r="E473" s="10">
        <v>2441</v>
      </c>
      <c r="F473" t="s">
        <v>20</v>
      </c>
    </row>
    <row r="474" spans="1:6" x14ac:dyDescent="0.2">
      <c r="A474">
        <v>98792</v>
      </c>
      <c r="B474" t="s">
        <v>19</v>
      </c>
      <c r="C474">
        <v>5</v>
      </c>
      <c r="D474" t="s">
        <v>18</v>
      </c>
      <c r="E474" s="10">
        <v>1411</v>
      </c>
      <c r="F474" t="s">
        <v>20</v>
      </c>
    </row>
    <row r="475" spans="1:6" x14ac:dyDescent="0.2">
      <c r="A475">
        <v>99114</v>
      </c>
      <c r="B475" t="s">
        <v>21</v>
      </c>
      <c r="C475">
        <v>18</v>
      </c>
      <c r="D475" t="s">
        <v>18</v>
      </c>
      <c r="E475" s="10">
        <v>5298</v>
      </c>
      <c r="F475" t="s">
        <v>20</v>
      </c>
    </row>
    <row r="476" spans="1:6" x14ac:dyDescent="0.2">
      <c r="A476">
        <v>99715</v>
      </c>
      <c r="B476" t="s">
        <v>21</v>
      </c>
      <c r="C476">
        <v>20</v>
      </c>
      <c r="D476" t="s">
        <v>18</v>
      </c>
      <c r="E476" s="10">
        <v>7494</v>
      </c>
      <c r="F476" t="s">
        <v>20</v>
      </c>
    </row>
    <row r="477" spans="1:6" hidden="1" x14ac:dyDescent="0.2">
      <c r="A477">
        <v>53008</v>
      </c>
      <c r="B477" t="s">
        <v>14</v>
      </c>
      <c r="C477">
        <v>16</v>
      </c>
      <c r="D477" t="s">
        <v>15</v>
      </c>
      <c r="E477">
        <v>2018</v>
      </c>
      <c r="F477" t="s">
        <v>28</v>
      </c>
    </row>
    <row r="478" spans="1:6" x14ac:dyDescent="0.2">
      <c r="A478">
        <v>99791</v>
      </c>
      <c r="B478" t="s">
        <v>26</v>
      </c>
      <c r="C478">
        <v>10</v>
      </c>
      <c r="D478" t="s">
        <v>18</v>
      </c>
      <c r="E478" s="10">
        <v>3638</v>
      </c>
      <c r="F478" t="s">
        <v>20</v>
      </c>
    </row>
    <row r="479" spans="1:6" x14ac:dyDescent="0.2">
      <c r="A479">
        <v>10210</v>
      </c>
      <c r="B479" t="s">
        <v>14</v>
      </c>
      <c r="C479">
        <v>17</v>
      </c>
      <c r="D479" t="s">
        <v>15</v>
      </c>
      <c r="E479" s="10">
        <v>2113</v>
      </c>
      <c r="F479" t="s">
        <v>16</v>
      </c>
    </row>
    <row r="480" spans="1:6" x14ac:dyDescent="0.2">
      <c r="A480">
        <v>10409</v>
      </c>
      <c r="B480" t="s">
        <v>17</v>
      </c>
      <c r="C480">
        <v>37</v>
      </c>
      <c r="D480" t="s">
        <v>18</v>
      </c>
      <c r="E480" s="10">
        <v>41924</v>
      </c>
      <c r="F480" t="s">
        <v>16</v>
      </c>
    </row>
    <row r="481" spans="1:6" x14ac:dyDescent="0.2">
      <c r="A481">
        <v>10568</v>
      </c>
      <c r="B481" t="s">
        <v>14</v>
      </c>
      <c r="C481">
        <v>13</v>
      </c>
      <c r="D481" t="s">
        <v>18</v>
      </c>
      <c r="E481" s="10">
        <v>4412</v>
      </c>
      <c r="F481" t="s">
        <v>16</v>
      </c>
    </row>
    <row r="482" spans="1:6" x14ac:dyDescent="0.2">
      <c r="A482">
        <v>10711</v>
      </c>
      <c r="B482" t="s">
        <v>14</v>
      </c>
      <c r="C482">
        <v>13</v>
      </c>
      <c r="D482" t="s">
        <v>15</v>
      </c>
      <c r="E482" s="10">
        <v>3915</v>
      </c>
      <c r="F482" t="s">
        <v>16</v>
      </c>
    </row>
    <row r="483" spans="1:6" x14ac:dyDescent="0.2">
      <c r="A483">
        <v>10820</v>
      </c>
      <c r="B483" t="s">
        <v>14</v>
      </c>
      <c r="C483">
        <v>14</v>
      </c>
      <c r="D483" t="s">
        <v>15</v>
      </c>
      <c r="E483" s="10">
        <v>5021</v>
      </c>
      <c r="F483" t="s">
        <v>16</v>
      </c>
    </row>
    <row r="484" spans="1:6" x14ac:dyDescent="0.2">
      <c r="A484">
        <v>11000</v>
      </c>
      <c r="B484" t="s">
        <v>14</v>
      </c>
      <c r="C484">
        <v>13</v>
      </c>
      <c r="D484" t="s">
        <v>15</v>
      </c>
      <c r="E484" s="10">
        <v>4154</v>
      </c>
      <c r="F484" t="s">
        <v>16</v>
      </c>
    </row>
    <row r="485" spans="1:6" x14ac:dyDescent="0.2">
      <c r="A485">
        <v>11115</v>
      </c>
      <c r="B485" t="s">
        <v>14</v>
      </c>
      <c r="C485">
        <v>15</v>
      </c>
      <c r="D485" t="s">
        <v>15</v>
      </c>
      <c r="E485" s="10">
        <v>2757</v>
      </c>
      <c r="F485" t="s">
        <v>16</v>
      </c>
    </row>
    <row r="486" spans="1:6" x14ac:dyDescent="0.2">
      <c r="A486">
        <v>11379</v>
      </c>
      <c r="B486" t="s">
        <v>17</v>
      </c>
      <c r="C486">
        <v>23</v>
      </c>
      <c r="D486" t="s">
        <v>15</v>
      </c>
      <c r="E486" s="10">
        <v>43025</v>
      </c>
      <c r="F486" t="s">
        <v>16</v>
      </c>
    </row>
    <row r="487" spans="1:6" hidden="1" x14ac:dyDescent="0.2">
      <c r="A487">
        <v>53996</v>
      </c>
      <c r="B487" t="s">
        <v>21</v>
      </c>
      <c r="C487">
        <v>19</v>
      </c>
      <c r="D487" t="s">
        <v>15</v>
      </c>
      <c r="E487">
        <v>8714</v>
      </c>
      <c r="F487" t="s">
        <v>24</v>
      </c>
    </row>
    <row r="488" spans="1:6" x14ac:dyDescent="0.2">
      <c r="A488">
        <v>12137</v>
      </c>
      <c r="B488" t="s">
        <v>25</v>
      </c>
      <c r="C488">
        <v>71</v>
      </c>
      <c r="D488" t="s">
        <v>15</v>
      </c>
      <c r="E488" s="10">
        <v>57928</v>
      </c>
      <c r="F488" t="s">
        <v>16</v>
      </c>
    </row>
    <row r="489" spans="1:6" x14ac:dyDescent="0.2">
      <c r="A489">
        <v>12207</v>
      </c>
      <c r="B489" t="s">
        <v>14</v>
      </c>
      <c r="C489">
        <v>13</v>
      </c>
      <c r="D489" t="s">
        <v>15</v>
      </c>
      <c r="E489" s="10">
        <v>4002</v>
      </c>
      <c r="F489" t="s">
        <v>16</v>
      </c>
    </row>
    <row r="490" spans="1:6" hidden="1" x14ac:dyDescent="0.2">
      <c r="A490">
        <v>54110</v>
      </c>
      <c r="B490" t="s">
        <v>17</v>
      </c>
      <c r="C490">
        <v>29</v>
      </c>
      <c r="D490" t="s">
        <v>18</v>
      </c>
      <c r="E490">
        <v>41013</v>
      </c>
      <c r="F490" t="s">
        <v>24</v>
      </c>
    </row>
    <row r="491" spans="1:6" x14ac:dyDescent="0.2">
      <c r="A491">
        <v>12589</v>
      </c>
      <c r="B491" t="s">
        <v>25</v>
      </c>
      <c r="C491">
        <v>63</v>
      </c>
      <c r="D491" t="s">
        <v>15</v>
      </c>
      <c r="E491" s="10">
        <v>56134</v>
      </c>
      <c r="F491" t="s">
        <v>16</v>
      </c>
    </row>
    <row r="492" spans="1:6" hidden="1" x14ac:dyDescent="0.2">
      <c r="A492">
        <v>54252</v>
      </c>
      <c r="B492" t="s">
        <v>25</v>
      </c>
      <c r="C492">
        <v>71</v>
      </c>
      <c r="D492" t="s">
        <v>15</v>
      </c>
      <c r="E492">
        <v>55428</v>
      </c>
      <c r="F492" t="s">
        <v>24</v>
      </c>
    </row>
    <row r="493" spans="1:6" hidden="1" x14ac:dyDescent="0.2">
      <c r="A493">
        <v>54406</v>
      </c>
      <c r="B493" t="s">
        <v>17</v>
      </c>
      <c r="C493">
        <v>25</v>
      </c>
      <c r="D493" t="s">
        <v>18</v>
      </c>
      <c r="E493">
        <v>38085</v>
      </c>
      <c r="F493" t="s">
        <v>22</v>
      </c>
    </row>
    <row r="494" spans="1:6" x14ac:dyDescent="0.2">
      <c r="A494">
        <v>12834</v>
      </c>
      <c r="B494" t="s">
        <v>19</v>
      </c>
      <c r="C494">
        <v>1</v>
      </c>
      <c r="D494" t="s">
        <v>18</v>
      </c>
      <c r="E494" s="10">
        <v>1070</v>
      </c>
      <c r="F494" t="s">
        <v>16</v>
      </c>
    </row>
    <row r="495" spans="1:6" x14ac:dyDescent="0.2">
      <c r="A495">
        <v>12990</v>
      </c>
      <c r="B495" t="s">
        <v>17</v>
      </c>
      <c r="C495">
        <v>27</v>
      </c>
      <c r="D495" t="s">
        <v>15</v>
      </c>
      <c r="E495" s="10">
        <v>35284</v>
      </c>
      <c r="F495" t="s">
        <v>16</v>
      </c>
    </row>
    <row r="496" spans="1:6" hidden="1" x14ac:dyDescent="0.2">
      <c r="A496">
        <v>55056</v>
      </c>
      <c r="B496" t="s">
        <v>25</v>
      </c>
      <c r="C496">
        <v>95</v>
      </c>
      <c r="D496" t="s">
        <v>15</v>
      </c>
      <c r="E496">
        <v>54680</v>
      </c>
      <c r="F496" t="s">
        <v>22</v>
      </c>
    </row>
    <row r="497" spans="1:6" x14ac:dyDescent="0.2">
      <c r="A497">
        <v>13119</v>
      </c>
      <c r="B497" t="s">
        <v>21</v>
      </c>
      <c r="C497">
        <v>21</v>
      </c>
      <c r="D497" t="s">
        <v>18</v>
      </c>
      <c r="E497" s="10">
        <v>7219</v>
      </c>
      <c r="F497" t="s">
        <v>16</v>
      </c>
    </row>
    <row r="498" spans="1:6" x14ac:dyDescent="0.2">
      <c r="A498">
        <v>13120</v>
      </c>
      <c r="B498" t="s">
        <v>14</v>
      </c>
      <c r="C498">
        <v>14</v>
      </c>
      <c r="D498" t="s">
        <v>18</v>
      </c>
      <c r="E498" s="10">
        <v>4681</v>
      </c>
      <c r="F498" t="s">
        <v>16</v>
      </c>
    </row>
    <row r="499" spans="1:6" hidden="1" x14ac:dyDescent="0.2">
      <c r="A499">
        <v>55300</v>
      </c>
      <c r="B499" t="s">
        <v>17</v>
      </c>
      <c r="C499">
        <v>45</v>
      </c>
      <c r="D499" t="s">
        <v>18</v>
      </c>
      <c r="E499">
        <v>46132</v>
      </c>
      <c r="F499" t="s">
        <v>22</v>
      </c>
    </row>
    <row r="500" spans="1:6" x14ac:dyDescent="0.2">
      <c r="A500">
        <v>13621</v>
      </c>
      <c r="B500" t="s">
        <v>19</v>
      </c>
      <c r="C500">
        <v>3</v>
      </c>
      <c r="D500" t="s">
        <v>15</v>
      </c>
      <c r="E500" s="10">
        <v>2750</v>
      </c>
      <c r="F500" t="s">
        <v>16</v>
      </c>
    </row>
    <row r="501" spans="1:6" x14ac:dyDescent="0.2">
      <c r="A501">
        <v>13826</v>
      </c>
      <c r="B501" t="s">
        <v>17</v>
      </c>
      <c r="C501">
        <v>30</v>
      </c>
      <c r="D501" t="s">
        <v>15</v>
      </c>
      <c r="E501" s="10">
        <v>46660</v>
      </c>
      <c r="F501" t="s">
        <v>16</v>
      </c>
    </row>
    <row r="502" spans="1:6" x14ac:dyDescent="0.2">
      <c r="A502">
        <v>14367</v>
      </c>
      <c r="B502" t="s">
        <v>17</v>
      </c>
      <c r="C502">
        <v>33</v>
      </c>
      <c r="D502" t="s">
        <v>18</v>
      </c>
      <c r="E502" s="10">
        <v>40781</v>
      </c>
      <c r="F502" t="s">
        <v>16</v>
      </c>
    </row>
    <row r="503" spans="1:6" hidden="1" x14ac:dyDescent="0.2">
      <c r="A503">
        <v>55442</v>
      </c>
      <c r="B503" t="s">
        <v>19</v>
      </c>
      <c r="C503">
        <v>0</v>
      </c>
      <c r="D503" t="s">
        <v>15</v>
      </c>
      <c r="E503">
        <v>2532</v>
      </c>
      <c r="F503" t="s">
        <v>24</v>
      </c>
    </row>
    <row r="504" spans="1:6" x14ac:dyDescent="0.2">
      <c r="A504">
        <v>14520</v>
      </c>
      <c r="B504" t="s">
        <v>17</v>
      </c>
      <c r="C504">
        <v>25</v>
      </c>
      <c r="D504" t="s">
        <v>15</v>
      </c>
      <c r="E504" s="10">
        <v>36428</v>
      </c>
      <c r="F504" t="s">
        <v>16</v>
      </c>
    </row>
    <row r="505" spans="1:6" x14ac:dyDescent="0.2">
      <c r="A505">
        <v>14653</v>
      </c>
      <c r="B505" t="s">
        <v>14</v>
      </c>
      <c r="C505">
        <v>17</v>
      </c>
      <c r="D505" t="s">
        <v>18</v>
      </c>
      <c r="E505" s="10">
        <v>4046</v>
      </c>
      <c r="F505" t="s">
        <v>16</v>
      </c>
    </row>
    <row r="506" spans="1:6" x14ac:dyDescent="0.2">
      <c r="A506">
        <v>14665</v>
      </c>
      <c r="B506" t="s">
        <v>17</v>
      </c>
      <c r="C506">
        <v>33</v>
      </c>
      <c r="D506" t="s">
        <v>18</v>
      </c>
      <c r="E506" s="10">
        <v>36184</v>
      </c>
      <c r="F506" t="s">
        <v>16</v>
      </c>
    </row>
    <row r="507" spans="1:6" x14ac:dyDescent="0.2">
      <c r="A507">
        <v>15034</v>
      </c>
      <c r="B507" t="s">
        <v>17</v>
      </c>
      <c r="C507">
        <v>24</v>
      </c>
      <c r="D507" t="s">
        <v>18</v>
      </c>
      <c r="E507" s="10">
        <v>36901</v>
      </c>
      <c r="F507" t="s">
        <v>16</v>
      </c>
    </row>
    <row r="508" spans="1:6" x14ac:dyDescent="0.2">
      <c r="A508">
        <v>15060</v>
      </c>
      <c r="B508" t="s">
        <v>25</v>
      </c>
      <c r="C508">
        <v>63</v>
      </c>
      <c r="D508" t="s">
        <v>15</v>
      </c>
      <c r="E508" s="10">
        <v>50419</v>
      </c>
      <c r="F508" t="s">
        <v>16</v>
      </c>
    </row>
    <row r="509" spans="1:6" x14ac:dyDescent="0.2">
      <c r="A509">
        <v>15111</v>
      </c>
      <c r="B509" t="s">
        <v>19</v>
      </c>
      <c r="C509">
        <v>1</v>
      </c>
      <c r="D509" t="s">
        <v>15</v>
      </c>
      <c r="E509" s="10">
        <v>340</v>
      </c>
      <c r="F509" t="s">
        <v>16</v>
      </c>
    </row>
    <row r="510" spans="1:6" x14ac:dyDescent="0.2">
      <c r="A510">
        <v>15366</v>
      </c>
      <c r="B510" t="s">
        <v>25</v>
      </c>
      <c r="C510">
        <v>75</v>
      </c>
      <c r="D510" t="s">
        <v>15</v>
      </c>
      <c r="E510" s="10">
        <v>49239</v>
      </c>
      <c r="F510" t="s">
        <v>16</v>
      </c>
    </row>
    <row r="511" spans="1:6" x14ac:dyDescent="0.2">
      <c r="A511">
        <v>15422</v>
      </c>
      <c r="B511" t="s">
        <v>17</v>
      </c>
      <c r="C511">
        <v>27</v>
      </c>
      <c r="D511" t="s">
        <v>18</v>
      </c>
      <c r="E511" s="10">
        <v>36057</v>
      </c>
      <c r="F511" t="s">
        <v>16</v>
      </c>
    </row>
    <row r="512" spans="1:6" x14ac:dyDescent="0.2">
      <c r="A512">
        <v>15487</v>
      </c>
      <c r="B512" t="s">
        <v>17</v>
      </c>
      <c r="C512">
        <v>24</v>
      </c>
      <c r="D512" t="s">
        <v>18</v>
      </c>
      <c r="E512" s="10">
        <v>31512</v>
      </c>
      <c r="F512" t="s">
        <v>16</v>
      </c>
    </row>
    <row r="513" spans="1:6" x14ac:dyDescent="0.2">
      <c r="A513">
        <v>15970</v>
      </c>
      <c r="B513" t="s">
        <v>25</v>
      </c>
      <c r="C513">
        <v>51</v>
      </c>
      <c r="D513" t="s">
        <v>15</v>
      </c>
      <c r="E513" s="10">
        <v>54267</v>
      </c>
      <c r="F513" t="s">
        <v>16</v>
      </c>
    </row>
    <row r="514" spans="1:6" x14ac:dyDescent="0.2">
      <c r="A514">
        <v>16306</v>
      </c>
      <c r="B514" t="s">
        <v>14</v>
      </c>
      <c r="C514">
        <v>15</v>
      </c>
      <c r="D514" t="s">
        <v>15</v>
      </c>
      <c r="E514" s="10">
        <v>2029</v>
      </c>
      <c r="F514" t="s">
        <v>16</v>
      </c>
    </row>
    <row r="515" spans="1:6" x14ac:dyDescent="0.2">
      <c r="A515">
        <v>16440</v>
      </c>
      <c r="B515" t="s">
        <v>17</v>
      </c>
      <c r="C515">
        <v>22</v>
      </c>
      <c r="D515" t="s">
        <v>18</v>
      </c>
      <c r="E515" s="10">
        <v>37727</v>
      </c>
      <c r="F515" t="s">
        <v>16</v>
      </c>
    </row>
    <row r="516" spans="1:6" x14ac:dyDescent="0.2">
      <c r="A516">
        <v>17191</v>
      </c>
      <c r="B516" t="s">
        <v>17</v>
      </c>
      <c r="C516">
        <v>24</v>
      </c>
      <c r="D516" t="s">
        <v>15</v>
      </c>
      <c r="E516" s="10">
        <v>45412</v>
      </c>
      <c r="F516" t="s">
        <v>16</v>
      </c>
    </row>
    <row r="517" spans="1:6" x14ac:dyDescent="0.2">
      <c r="A517">
        <v>17605</v>
      </c>
      <c r="B517" t="s">
        <v>21</v>
      </c>
      <c r="C517">
        <v>18</v>
      </c>
      <c r="D517" t="s">
        <v>18</v>
      </c>
      <c r="E517" s="10">
        <v>13677</v>
      </c>
      <c r="F517" t="s">
        <v>16</v>
      </c>
    </row>
    <row r="518" spans="1:6" x14ac:dyDescent="0.2">
      <c r="A518">
        <v>18015</v>
      </c>
      <c r="B518" t="s">
        <v>17</v>
      </c>
      <c r="C518">
        <v>29</v>
      </c>
      <c r="D518" t="s">
        <v>18</v>
      </c>
      <c r="E518" s="10">
        <v>38236</v>
      </c>
      <c r="F518" t="s">
        <v>16</v>
      </c>
    </row>
    <row r="519" spans="1:6" hidden="1" x14ac:dyDescent="0.2">
      <c r="A519">
        <v>56736</v>
      </c>
      <c r="B519" t="s">
        <v>21</v>
      </c>
      <c r="C519">
        <v>18</v>
      </c>
      <c r="D519" t="s">
        <v>15</v>
      </c>
      <c r="E519">
        <v>11054</v>
      </c>
      <c r="F519" t="s">
        <v>23</v>
      </c>
    </row>
    <row r="520" spans="1:6" x14ac:dyDescent="0.2">
      <c r="A520">
        <v>18057</v>
      </c>
      <c r="B520" t="s">
        <v>14</v>
      </c>
      <c r="C520">
        <v>17</v>
      </c>
      <c r="D520" t="s">
        <v>18</v>
      </c>
      <c r="E520" s="10">
        <v>6798</v>
      </c>
      <c r="F520" t="s">
        <v>16</v>
      </c>
    </row>
    <row r="521" spans="1:6" x14ac:dyDescent="0.2">
      <c r="A521">
        <v>18080</v>
      </c>
      <c r="B521" t="s">
        <v>14</v>
      </c>
      <c r="C521">
        <v>13</v>
      </c>
      <c r="D521" t="s">
        <v>15</v>
      </c>
      <c r="E521" s="10">
        <v>4052</v>
      </c>
      <c r="F521" t="s">
        <v>16</v>
      </c>
    </row>
    <row r="522" spans="1:6" x14ac:dyDescent="0.2">
      <c r="A522">
        <v>18095</v>
      </c>
      <c r="B522" t="s">
        <v>17</v>
      </c>
      <c r="C522">
        <v>48</v>
      </c>
      <c r="D522" t="s">
        <v>15</v>
      </c>
      <c r="E522" s="10">
        <v>49424</v>
      </c>
      <c r="F522" t="s">
        <v>16</v>
      </c>
    </row>
    <row r="523" spans="1:6" x14ac:dyDescent="0.2">
      <c r="A523">
        <v>18313</v>
      </c>
      <c r="B523" t="s">
        <v>14</v>
      </c>
      <c r="C523">
        <v>16</v>
      </c>
      <c r="D523" t="s">
        <v>18</v>
      </c>
      <c r="E523" s="10">
        <v>2924</v>
      </c>
      <c r="F523" t="s">
        <v>16</v>
      </c>
    </row>
    <row r="524" spans="1:6" x14ac:dyDescent="0.2">
      <c r="A524">
        <v>18656</v>
      </c>
      <c r="B524" t="s">
        <v>17</v>
      </c>
      <c r="C524">
        <v>28</v>
      </c>
      <c r="D524" t="s">
        <v>15</v>
      </c>
      <c r="E524" s="10">
        <v>31027</v>
      </c>
      <c r="F524" t="s">
        <v>16</v>
      </c>
    </row>
    <row r="525" spans="1:6" x14ac:dyDescent="0.2">
      <c r="A525">
        <v>18671</v>
      </c>
      <c r="B525" t="s">
        <v>17</v>
      </c>
      <c r="C525">
        <v>22</v>
      </c>
      <c r="D525" t="s">
        <v>18</v>
      </c>
      <c r="E525" s="10">
        <v>27364</v>
      </c>
      <c r="F525" t="s">
        <v>16</v>
      </c>
    </row>
    <row r="526" spans="1:6" x14ac:dyDescent="0.2">
      <c r="A526">
        <v>18749</v>
      </c>
      <c r="B526" t="s">
        <v>17</v>
      </c>
      <c r="C526">
        <v>27</v>
      </c>
      <c r="D526" t="s">
        <v>15</v>
      </c>
      <c r="E526" s="10">
        <v>30998</v>
      </c>
      <c r="F526" t="s">
        <v>16</v>
      </c>
    </row>
    <row r="527" spans="1:6" hidden="1" x14ac:dyDescent="0.2">
      <c r="A527">
        <v>57420</v>
      </c>
      <c r="B527" t="s">
        <v>26</v>
      </c>
      <c r="C527">
        <v>6</v>
      </c>
      <c r="D527" t="s">
        <v>18</v>
      </c>
      <c r="E527">
        <v>3948</v>
      </c>
      <c r="F527" t="s">
        <v>22</v>
      </c>
    </row>
    <row r="528" spans="1:6" x14ac:dyDescent="0.2">
      <c r="A528">
        <v>18894</v>
      </c>
      <c r="B528" t="s">
        <v>19</v>
      </c>
      <c r="C528">
        <v>3</v>
      </c>
      <c r="D528" t="s">
        <v>18</v>
      </c>
      <c r="E528" s="10">
        <v>1057</v>
      </c>
      <c r="F528" t="s">
        <v>16</v>
      </c>
    </row>
    <row r="529" spans="1:6" hidden="1" x14ac:dyDescent="0.2">
      <c r="A529">
        <v>57550</v>
      </c>
      <c r="B529" t="s">
        <v>21</v>
      </c>
      <c r="C529">
        <v>19</v>
      </c>
      <c r="D529" t="s">
        <v>15</v>
      </c>
      <c r="E529">
        <v>8700</v>
      </c>
      <c r="F529" t="s">
        <v>24</v>
      </c>
    </row>
    <row r="530" spans="1:6" x14ac:dyDescent="0.2">
      <c r="A530">
        <v>19107</v>
      </c>
      <c r="B530" t="s">
        <v>17</v>
      </c>
      <c r="C530">
        <v>22</v>
      </c>
      <c r="D530" t="s">
        <v>18</v>
      </c>
      <c r="E530" s="10">
        <v>42623</v>
      </c>
      <c r="F530" t="s">
        <v>16</v>
      </c>
    </row>
    <row r="531" spans="1:6" x14ac:dyDescent="0.2">
      <c r="A531">
        <v>19247</v>
      </c>
      <c r="B531" t="s">
        <v>14</v>
      </c>
      <c r="C531">
        <v>15</v>
      </c>
      <c r="D531" t="s">
        <v>15</v>
      </c>
      <c r="E531" s="10">
        <v>2521</v>
      </c>
      <c r="F531" t="s">
        <v>16</v>
      </c>
    </row>
    <row r="532" spans="1:6" x14ac:dyDescent="0.2">
      <c r="A532">
        <v>19251</v>
      </c>
      <c r="B532" t="s">
        <v>17</v>
      </c>
      <c r="C532">
        <v>41</v>
      </c>
      <c r="D532" t="s">
        <v>15</v>
      </c>
      <c r="E532" s="10">
        <v>42139</v>
      </c>
      <c r="F532" t="s">
        <v>16</v>
      </c>
    </row>
    <row r="533" spans="1:6" x14ac:dyDescent="0.2">
      <c r="A533">
        <v>19412</v>
      </c>
      <c r="B533" t="s">
        <v>25</v>
      </c>
      <c r="C533">
        <v>60</v>
      </c>
      <c r="D533" t="s">
        <v>15</v>
      </c>
      <c r="E533" s="10">
        <v>57702</v>
      </c>
      <c r="F533" t="s">
        <v>16</v>
      </c>
    </row>
    <row r="534" spans="1:6" x14ac:dyDescent="0.2">
      <c r="A534">
        <v>19510</v>
      </c>
      <c r="B534" t="s">
        <v>17</v>
      </c>
      <c r="C534">
        <v>23</v>
      </c>
      <c r="D534" t="s">
        <v>15</v>
      </c>
      <c r="E534" s="10">
        <v>36607</v>
      </c>
      <c r="F534" t="s">
        <v>16</v>
      </c>
    </row>
    <row r="535" spans="1:6" x14ac:dyDescent="0.2">
      <c r="A535">
        <v>19517</v>
      </c>
      <c r="B535" t="s">
        <v>17</v>
      </c>
      <c r="C535">
        <v>36</v>
      </c>
      <c r="D535" t="s">
        <v>18</v>
      </c>
      <c r="E535" s="10">
        <v>29144</v>
      </c>
      <c r="F535" t="s">
        <v>16</v>
      </c>
    </row>
    <row r="536" spans="1:6" x14ac:dyDescent="0.2">
      <c r="A536">
        <v>19571</v>
      </c>
      <c r="B536" t="s">
        <v>21</v>
      </c>
      <c r="C536">
        <v>21</v>
      </c>
      <c r="D536" t="s">
        <v>15</v>
      </c>
      <c r="E536" s="10">
        <v>7193</v>
      </c>
      <c r="F536" t="s">
        <v>16</v>
      </c>
    </row>
    <row r="537" spans="1:6" x14ac:dyDescent="0.2">
      <c r="A537">
        <v>19662</v>
      </c>
      <c r="B537" t="s">
        <v>25</v>
      </c>
      <c r="C537">
        <v>80</v>
      </c>
      <c r="D537" t="s">
        <v>15</v>
      </c>
      <c r="E537" s="10">
        <v>54309</v>
      </c>
      <c r="F537" t="s">
        <v>16</v>
      </c>
    </row>
    <row r="538" spans="1:6" x14ac:dyDescent="0.2">
      <c r="A538">
        <v>19663</v>
      </c>
      <c r="B538" t="s">
        <v>26</v>
      </c>
      <c r="C538">
        <v>6</v>
      </c>
      <c r="D538" t="s">
        <v>15</v>
      </c>
      <c r="E538" s="10">
        <v>987</v>
      </c>
      <c r="F538" t="s">
        <v>16</v>
      </c>
    </row>
    <row r="539" spans="1:6" hidden="1" x14ac:dyDescent="0.2">
      <c r="A539">
        <v>58565</v>
      </c>
      <c r="B539" t="s">
        <v>26</v>
      </c>
      <c r="C539">
        <v>6</v>
      </c>
      <c r="D539" t="s">
        <v>15</v>
      </c>
      <c r="E539">
        <v>3530</v>
      </c>
      <c r="F539" t="s">
        <v>24</v>
      </c>
    </row>
    <row r="540" spans="1:6" x14ac:dyDescent="0.2">
      <c r="A540">
        <v>19825</v>
      </c>
      <c r="B540" t="s">
        <v>17</v>
      </c>
      <c r="C540">
        <v>25</v>
      </c>
      <c r="D540" t="s">
        <v>15</v>
      </c>
      <c r="E540" s="10">
        <v>41107</v>
      </c>
      <c r="F540" t="s">
        <v>16</v>
      </c>
    </row>
    <row r="541" spans="1:6" hidden="1" x14ac:dyDescent="0.2">
      <c r="A541">
        <v>58838</v>
      </c>
      <c r="B541" t="s">
        <v>21</v>
      </c>
      <c r="C541">
        <v>21</v>
      </c>
      <c r="D541" t="s">
        <v>18</v>
      </c>
      <c r="E541">
        <v>10385</v>
      </c>
      <c r="F541" t="s">
        <v>24</v>
      </c>
    </row>
    <row r="542" spans="1:6" x14ac:dyDescent="0.2">
      <c r="A542">
        <v>19917</v>
      </c>
      <c r="B542" t="s">
        <v>19</v>
      </c>
      <c r="C542">
        <v>0</v>
      </c>
      <c r="D542" t="s">
        <v>18</v>
      </c>
      <c r="E542" s="10">
        <v>904</v>
      </c>
      <c r="F542" t="s">
        <v>16</v>
      </c>
    </row>
    <row r="543" spans="1:6" x14ac:dyDescent="0.2">
      <c r="A543">
        <v>20057</v>
      </c>
      <c r="B543" t="s">
        <v>25</v>
      </c>
      <c r="C543">
        <v>65</v>
      </c>
      <c r="D543" t="s">
        <v>15</v>
      </c>
      <c r="E543" s="10">
        <v>56752</v>
      </c>
      <c r="F543" t="s">
        <v>16</v>
      </c>
    </row>
    <row r="544" spans="1:6" hidden="1" x14ac:dyDescent="0.2">
      <c r="A544">
        <v>58884</v>
      </c>
      <c r="B544" t="s">
        <v>17</v>
      </c>
      <c r="C544">
        <v>34</v>
      </c>
      <c r="D544" t="s">
        <v>15</v>
      </c>
      <c r="E544">
        <v>41522</v>
      </c>
      <c r="F544" t="s">
        <v>22</v>
      </c>
    </row>
    <row r="545" spans="1:6" x14ac:dyDescent="0.2">
      <c r="A545">
        <v>20641</v>
      </c>
      <c r="B545" t="s">
        <v>21</v>
      </c>
      <c r="C545">
        <v>19</v>
      </c>
      <c r="D545" t="s">
        <v>18</v>
      </c>
      <c r="E545" s="10">
        <v>10716</v>
      </c>
      <c r="F545" t="s">
        <v>16</v>
      </c>
    </row>
    <row r="546" spans="1:6" x14ac:dyDescent="0.2">
      <c r="A546">
        <v>20872</v>
      </c>
      <c r="B546" t="s">
        <v>17</v>
      </c>
      <c r="C546">
        <v>33</v>
      </c>
      <c r="D546" t="s">
        <v>18</v>
      </c>
      <c r="E546" s="10">
        <v>34558</v>
      </c>
      <c r="F546" t="s">
        <v>16</v>
      </c>
    </row>
    <row r="547" spans="1:6" x14ac:dyDescent="0.2">
      <c r="A547">
        <v>21140</v>
      </c>
      <c r="B547" t="s">
        <v>19</v>
      </c>
      <c r="C547">
        <v>5</v>
      </c>
      <c r="D547" t="s">
        <v>18</v>
      </c>
      <c r="E547" s="10">
        <v>1997</v>
      </c>
      <c r="F547" t="s">
        <v>16</v>
      </c>
    </row>
    <row r="548" spans="1:6" x14ac:dyDescent="0.2">
      <c r="A548">
        <v>21305</v>
      </c>
      <c r="B548" t="s">
        <v>21</v>
      </c>
      <c r="C548">
        <v>18</v>
      </c>
      <c r="D548" t="s">
        <v>15</v>
      </c>
      <c r="E548" s="10">
        <v>12306</v>
      </c>
      <c r="F548" t="s">
        <v>16</v>
      </c>
    </row>
    <row r="549" spans="1:6" x14ac:dyDescent="0.2">
      <c r="A549">
        <v>21503</v>
      </c>
      <c r="B549" t="s">
        <v>17</v>
      </c>
      <c r="C549">
        <v>24</v>
      </c>
      <c r="D549" t="s">
        <v>18</v>
      </c>
      <c r="E549" s="10">
        <v>37416</v>
      </c>
      <c r="F549" t="s">
        <v>16</v>
      </c>
    </row>
    <row r="550" spans="1:6" hidden="1" x14ac:dyDescent="0.2">
      <c r="A550">
        <v>59332</v>
      </c>
      <c r="B550" t="s">
        <v>25</v>
      </c>
      <c r="C550">
        <v>64</v>
      </c>
      <c r="D550" t="s">
        <v>18</v>
      </c>
      <c r="E550">
        <v>51599</v>
      </c>
      <c r="F550" t="s">
        <v>24</v>
      </c>
    </row>
    <row r="551" spans="1:6" x14ac:dyDescent="0.2">
      <c r="A551">
        <v>22541</v>
      </c>
      <c r="B551" t="s">
        <v>17</v>
      </c>
      <c r="C551">
        <v>27</v>
      </c>
      <c r="D551" t="s">
        <v>15</v>
      </c>
      <c r="E551" s="10">
        <v>42702</v>
      </c>
      <c r="F551" t="s">
        <v>16</v>
      </c>
    </row>
    <row r="552" spans="1:6" x14ac:dyDescent="0.2">
      <c r="A552">
        <v>22682</v>
      </c>
      <c r="B552" t="s">
        <v>17</v>
      </c>
      <c r="C552">
        <v>37</v>
      </c>
      <c r="D552" t="s">
        <v>15</v>
      </c>
      <c r="E552" s="10">
        <v>42455</v>
      </c>
      <c r="F552" t="s">
        <v>16</v>
      </c>
    </row>
    <row r="553" spans="1:6" x14ac:dyDescent="0.2">
      <c r="A553">
        <v>23032</v>
      </c>
      <c r="B553" t="s">
        <v>17</v>
      </c>
      <c r="C553">
        <v>22</v>
      </c>
      <c r="D553" t="s">
        <v>18</v>
      </c>
      <c r="E553" s="10">
        <v>43292</v>
      </c>
      <c r="F553" t="s">
        <v>16</v>
      </c>
    </row>
    <row r="554" spans="1:6" x14ac:dyDescent="0.2">
      <c r="A554">
        <v>23505</v>
      </c>
      <c r="B554" t="s">
        <v>19</v>
      </c>
      <c r="C554">
        <v>4</v>
      </c>
      <c r="D554" t="s">
        <v>18</v>
      </c>
      <c r="E554" s="10">
        <v>1631</v>
      </c>
      <c r="F554" t="s">
        <v>16</v>
      </c>
    </row>
    <row r="555" spans="1:6" x14ac:dyDescent="0.2">
      <c r="A555">
        <v>23890</v>
      </c>
      <c r="B555" t="s">
        <v>19</v>
      </c>
      <c r="C555">
        <v>4</v>
      </c>
      <c r="D555" t="s">
        <v>18</v>
      </c>
      <c r="E555" s="10">
        <v>1644</v>
      </c>
      <c r="F555" t="s">
        <v>16</v>
      </c>
    </row>
    <row r="556" spans="1:6" x14ac:dyDescent="0.2">
      <c r="A556">
        <v>24042</v>
      </c>
      <c r="B556" t="s">
        <v>21</v>
      </c>
      <c r="C556">
        <v>18</v>
      </c>
      <c r="D556" t="s">
        <v>18</v>
      </c>
      <c r="E556" s="10">
        <v>8999</v>
      </c>
      <c r="F556" t="s">
        <v>16</v>
      </c>
    </row>
    <row r="557" spans="1:6" x14ac:dyDescent="0.2">
      <c r="A557">
        <v>24171</v>
      </c>
      <c r="B557" t="s">
        <v>17</v>
      </c>
      <c r="C557">
        <v>35</v>
      </c>
      <c r="D557" t="s">
        <v>18</v>
      </c>
      <c r="E557" s="10">
        <v>27417</v>
      </c>
      <c r="F557" t="s">
        <v>16</v>
      </c>
    </row>
    <row r="558" spans="1:6" x14ac:dyDescent="0.2">
      <c r="A558">
        <v>24270</v>
      </c>
      <c r="B558" t="s">
        <v>21</v>
      </c>
      <c r="C558">
        <v>18</v>
      </c>
      <c r="D558" t="s">
        <v>15</v>
      </c>
      <c r="E558" s="10">
        <v>9078</v>
      </c>
      <c r="F558" t="s">
        <v>16</v>
      </c>
    </row>
    <row r="559" spans="1:6" x14ac:dyDescent="0.2">
      <c r="A559">
        <v>24545</v>
      </c>
      <c r="B559" t="s">
        <v>19</v>
      </c>
      <c r="C559">
        <v>4</v>
      </c>
      <c r="D559" t="s">
        <v>18</v>
      </c>
      <c r="E559" s="10">
        <v>2553</v>
      </c>
      <c r="F559" t="s">
        <v>16</v>
      </c>
    </row>
    <row r="560" spans="1:6" x14ac:dyDescent="0.2">
      <c r="A560">
        <v>24731</v>
      </c>
      <c r="B560" t="s">
        <v>19</v>
      </c>
      <c r="C560">
        <v>0</v>
      </c>
      <c r="D560" t="s">
        <v>15</v>
      </c>
      <c r="E560" s="10">
        <v>1068</v>
      </c>
      <c r="F560" t="s">
        <v>16</v>
      </c>
    </row>
    <row r="561" spans="1:6" x14ac:dyDescent="0.2">
      <c r="A561">
        <v>24786</v>
      </c>
      <c r="B561" t="s">
        <v>14</v>
      </c>
      <c r="C561">
        <v>15</v>
      </c>
      <c r="D561" t="s">
        <v>18</v>
      </c>
      <c r="E561" s="10">
        <v>4818</v>
      </c>
      <c r="F561" t="s">
        <v>16</v>
      </c>
    </row>
    <row r="562" spans="1:6" x14ac:dyDescent="0.2">
      <c r="A562">
        <v>24838</v>
      </c>
      <c r="B562" t="s">
        <v>19</v>
      </c>
      <c r="C562">
        <v>2</v>
      </c>
      <c r="D562" t="s">
        <v>18</v>
      </c>
      <c r="E562" s="10">
        <v>650</v>
      </c>
      <c r="F562" t="s">
        <v>16</v>
      </c>
    </row>
    <row r="563" spans="1:6" x14ac:dyDescent="0.2">
      <c r="A563">
        <v>24847</v>
      </c>
      <c r="B563" t="s">
        <v>21</v>
      </c>
      <c r="C563">
        <v>21</v>
      </c>
      <c r="D563" t="s">
        <v>15</v>
      </c>
      <c r="E563" s="10">
        <v>15179</v>
      </c>
      <c r="F563" t="s">
        <v>16</v>
      </c>
    </row>
    <row r="564" spans="1:6" hidden="1" x14ac:dyDescent="0.2">
      <c r="A564">
        <v>60508</v>
      </c>
      <c r="B564" t="s">
        <v>25</v>
      </c>
      <c r="C564">
        <v>62</v>
      </c>
      <c r="D564" t="s">
        <v>15</v>
      </c>
      <c r="E564">
        <v>49075</v>
      </c>
      <c r="F564" t="s">
        <v>24</v>
      </c>
    </row>
    <row r="565" spans="1:6" x14ac:dyDescent="0.2">
      <c r="A565">
        <v>24895</v>
      </c>
      <c r="B565" t="s">
        <v>17</v>
      </c>
      <c r="C565">
        <v>27</v>
      </c>
      <c r="D565" t="s">
        <v>15</v>
      </c>
      <c r="E565" s="10">
        <v>47242</v>
      </c>
      <c r="F565" t="s">
        <v>16</v>
      </c>
    </row>
    <row r="566" spans="1:6" x14ac:dyDescent="0.2">
      <c r="A566">
        <v>24959</v>
      </c>
      <c r="B566" t="s">
        <v>25</v>
      </c>
      <c r="C566">
        <v>82</v>
      </c>
      <c r="D566" t="s">
        <v>15</v>
      </c>
      <c r="E566" s="10">
        <v>58922</v>
      </c>
      <c r="F566" t="s">
        <v>16</v>
      </c>
    </row>
    <row r="567" spans="1:6" hidden="1" x14ac:dyDescent="0.2">
      <c r="A567">
        <v>60864</v>
      </c>
      <c r="B567" t="s">
        <v>21</v>
      </c>
      <c r="C567">
        <v>20</v>
      </c>
      <c r="D567" t="s">
        <v>18</v>
      </c>
      <c r="E567">
        <v>5583</v>
      </c>
      <c r="F567" t="s">
        <v>22</v>
      </c>
    </row>
    <row r="568" spans="1:6" x14ac:dyDescent="0.2">
      <c r="A568">
        <v>25184</v>
      </c>
      <c r="B568" t="s">
        <v>21</v>
      </c>
      <c r="C568">
        <v>21</v>
      </c>
      <c r="D568" t="s">
        <v>18</v>
      </c>
      <c r="E568" s="10">
        <v>10008</v>
      </c>
      <c r="F568" t="s">
        <v>16</v>
      </c>
    </row>
    <row r="569" spans="1:6" x14ac:dyDescent="0.2">
      <c r="A569">
        <v>25281</v>
      </c>
      <c r="B569" t="s">
        <v>17</v>
      </c>
      <c r="C569">
        <v>28</v>
      </c>
      <c r="D569" t="s">
        <v>15</v>
      </c>
      <c r="E569" s="10">
        <v>42346</v>
      </c>
      <c r="F569" t="s">
        <v>16</v>
      </c>
    </row>
    <row r="570" spans="1:6" x14ac:dyDescent="0.2">
      <c r="A570">
        <v>25321</v>
      </c>
      <c r="B570" t="s">
        <v>17</v>
      </c>
      <c r="C570">
        <v>40</v>
      </c>
      <c r="D570" t="s">
        <v>18</v>
      </c>
      <c r="E570" s="10">
        <v>42840</v>
      </c>
      <c r="F570" t="s">
        <v>16</v>
      </c>
    </row>
    <row r="571" spans="1:6" hidden="1" x14ac:dyDescent="0.2">
      <c r="A571">
        <v>61120</v>
      </c>
      <c r="B571" t="s">
        <v>26</v>
      </c>
      <c r="C571">
        <v>7</v>
      </c>
      <c r="D571" t="s">
        <v>18</v>
      </c>
      <c r="E571">
        <v>3000</v>
      </c>
      <c r="F571" t="s">
        <v>23</v>
      </c>
    </row>
    <row r="572" spans="1:6" hidden="1" x14ac:dyDescent="0.2">
      <c r="A572">
        <v>61187</v>
      </c>
      <c r="B572" t="s">
        <v>26</v>
      </c>
      <c r="C572">
        <v>11</v>
      </c>
      <c r="D572" t="s">
        <v>18</v>
      </c>
      <c r="E572">
        <v>2885</v>
      </c>
      <c r="F572" t="s">
        <v>23</v>
      </c>
    </row>
    <row r="573" spans="1:6" hidden="1" x14ac:dyDescent="0.2">
      <c r="A573">
        <v>61192</v>
      </c>
      <c r="B573" t="s">
        <v>21</v>
      </c>
      <c r="C573">
        <v>20</v>
      </c>
      <c r="D573" t="s">
        <v>18</v>
      </c>
      <c r="E573">
        <v>6255</v>
      </c>
      <c r="F573" t="s">
        <v>24</v>
      </c>
    </row>
    <row r="574" spans="1:6" x14ac:dyDescent="0.2">
      <c r="A574">
        <v>25575</v>
      </c>
      <c r="B574" t="s">
        <v>17</v>
      </c>
      <c r="C574">
        <v>23</v>
      </c>
      <c r="D574" t="s">
        <v>18</v>
      </c>
      <c r="E574" s="10">
        <v>40992</v>
      </c>
      <c r="F574" t="s">
        <v>16</v>
      </c>
    </row>
    <row r="575" spans="1:6" hidden="1" x14ac:dyDescent="0.2">
      <c r="A575">
        <v>61449</v>
      </c>
      <c r="B575" t="s">
        <v>14</v>
      </c>
      <c r="C575">
        <v>14</v>
      </c>
      <c r="D575" t="s">
        <v>18</v>
      </c>
      <c r="E575">
        <v>5025</v>
      </c>
      <c r="F575" t="s">
        <v>22</v>
      </c>
    </row>
    <row r="576" spans="1:6" hidden="1" x14ac:dyDescent="0.2">
      <c r="A576">
        <v>61467</v>
      </c>
      <c r="B576" t="s">
        <v>19</v>
      </c>
      <c r="C576">
        <v>1</v>
      </c>
      <c r="D576" t="s">
        <v>15</v>
      </c>
      <c r="E576">
        <v>2157</v>
      </c>
      <c r="F576" t="s">
        <v>24</v>
      </c>
    </row>
    <row r="577" spans="1:6" hidden="1" x14ac:dyDescent="0.2">
      <c r="A577">
        <v>61498</v>
      </c>
      <c r="B577" t="s">
        <v>14</v>
      </c>
      <c r="C577">
        <v>13</v>
      </c>
      <c r="D577" t="s">
        <v>15</v>
      </c>
      <c r="E577">
        <v>3726</v>
      </c>
      <c r="F577" t="s">
        <v>27</v>
      </c>
    </row>
    <row r="578" spans="1:6" x14ac:dyDescent="0.2">
      <c r="A578">
        <v>25649</v>
      </c>
      <c r="B578" t="s">
        <v>17</v>
      </c>
      <c r="C578">
        <v>42</v>
      </c>
      <c r="D578" t="s">
        <v>18</v>
      </c>
      <c r="E578" s="10">
        <v>37916</v>
      </c>
      <c r="F578" t="s">
        <v>16</v>
      </c>
    </row>
    <row r="579" spans="1:6" x14ac:dyDescent="0.2">
      <c r="A579">
        <v>25743</v>
      </c>
      <c r="B579" t="s">
        <v>26</v>
      </c>
      <c r="C579">
        <v>11</v>
      </c>
      <c r="D579" t="s">
        <v>15</v>
      </c>
      <c r="E579" s="10">
        <v>1339</v>
      </c>
      <c r="F579" t="s">
        <v>16</v>
      </c>
    </row>
    <row r="580" spans="1:6" x14ac:dyDescent="0.2">
      <c r="A580">
        <v>25747</v>
      </c>
      <c r="B580" t="s">
        <v>25</v>
      </c>
      <c r="C580">
        <v>74</v>
      </c>
      <c r="D580" t="s">
        <v>15</v>
      </c>
      <c r="E580" s="10">
        <v>54266</v>
      </c>
      <c r="F580" t="s">
        <v>16</v>
      </c>
    </row>
    <row r="581" spans="1:6" x14ac:dyDescent="0.2">
      <c r="A581">
        <v>26169</v>
      </c>
      <c r="B581" t="s">
        <v>17</v>
      </c>
      <c r="C581">
        <v>33</v>
      </c>
      <c r="D581" t="s">
        <v>15</v>
      </c>
      <c r="E581" s="10">
        <v>47204</v>
      </c>
      <c r="F581" t="s">
        <v>16</v>
      </c>
    </row>
    <row r="582" spans="1:6" x14ac:dyDescent="0.2">
      <c r="A582">
        <v>27311</v>
      </c>
      <c r="B582" t="s">
        <v>14</v>
      </c>
      <c r="C582">
        <v>17</v>
      </c>
      <c r="D582" t="s">
        <v>18</v>
      </c>
      <c r="E582" s="10">
        <v>4556</v>
      </c>
      <c r="F582" t="s">
        <v>16</v>
      </c>
    </row>
    <row r="583" spans="1:6" hidden="1" x14ac:dyDescent="0.2">
      <c r="A583">
        <v>61806</v>
      </c>
      <c r="B583" t="s">
        <v>17</v>
      </c>
      <c r="C583">
        <v>24</v>
      </c>
      <c r="D583" t="s">
        <v>15</v>
      </c>
      <c r="E583">
        <v>46911</v>
      </c>
      <c r="F583" t="s">
        <v>24</v>
      </c>
    </row>
    <row r="584" spans="1:6" x14ac:dyDescent="0.2">
      <c r="A584">
        <v>27356</v>
      </c>
      <c r="B584" t="s">
        <v>17</v>
      </c>
      <c r="C584">
        <v>25</v>
      </c>
      <c r="D584" t="s">
        <v>15</v>
      </c>
      <c r="E584" s="10">
        <v>49142</v>
      </c>
      <c r="F584" t="s">
        <v>16</v>
      </c>
    </row>
    <row r="585" spans="1:6" x14ac:dyDescent="0.2">
      <c r="A585">
        <v>27561</v>
      </c>
      <c r="B585" t="s">
        <v>26</v>
      </c>
      <c r="C585">
        <v>12</v>
      </c>
      <c r="D585" t="s">
        <v>15</v>
      </c>
      <c r="E585" s="10">
        <v>2431</v>
      </c>
      <c r="F585" t="s">
        <v>16</v>
      </c>
    </row>
    <row r="586" spans="1:6" x14ac:dyDescent="0.2">
      <c r="A586">
        <v>27824</v>
      </c>
      <c r="B586" t="s">
        <v>26</v>
      </c>
      <c r="C586">
        <v>11</v>
      </c>
      <c r="D586" t="s">
        <v>18</v>
      </c>
      <c r="E586" s="10">
        <v>1024</v>
      </c>
      <c r="F586" t="s">
        <v>16</v>
      </c>
    </row>
    <row r="587" spans="1:6" x14ac:dyDescent="0.2">
      <c r="A587">
        <v>28053</v>
      </c>
      <c r="B587" t="s">
        <v>25</v>
      </c>
      <c r="C587">
        <v>62</v>
      </c>
      <c r="D587" t="s">
        <v>15</v>
      </c>
      <c r="E587" s="10">
        <v>49749</v>
      </c>
      <c r="F587" t="s">
        <v>16</v>
      </c>
    </row>
    <row r="588" spans="1:6" x14ac:dyDescent="0.2">
      <c r="A588">
        <v>28085</v>
      </c>
      <c r="B588" t="s">
        <v>26</v>
      </c>
      <c r="C588">
        <v>9</v>
      </c>
      <c r="D588" t="s">
        <v>15</v>
      </c>
      <c r="E588" s="10">
        <v>3374</v>
      </c>
      <c r="F588" t="s">
        <v>16</v>
      </c>
    </row>
    <row r="589" spans="1:6" hidden="1" x14ac:dyDescent="0.2">
      <c r="A589">
        <v>62191</v>
      </c>
      <c r="B589" t="s">
        <v>14</v>
      </c>
      <c r="C589">
        <v>17</v>
      </c>
      <c r="D589" t="s">
        <v>18</v>
      </c>
      <c r="E589">
        <v>3075</v>
      </c>
      <c r="F589" t="s">
        <v>24</v>
      </c>
    </row>
    <row r="590" spans="1:6" x14ac:dyDescent="0.2">
      <c r="A590">
        <v>28728</v>
      </c>
      <c r="B590" t="s">
        <v>21</v>
      </c>
      <c r="C590">
        <v>20</v>
      </c>
      <c r="D590" t="s">
        <v>18</v>
      </c>
      <c r="E590" s="10">
        <v>12854</v>
      </c>
      <c r="F590" t="s">
        <v>16</v>
      </c>
    </row>
    <row r="591" spans="1:6" x14ac:dyDescent="0.2">
      <c r="A591">
        <v>29193</v>
      </c>
      <c r="B591" t="s">
        <v>17</v>
      </c>
      <c r="C591">
        <v>24</v>
      </c>
      <c r="D591" t="s">
        <v>18</v>
      </c>
      <c r="E591" s="10">
        <v>46703</v>
      </c>
      <c r="F591" t="s">
        <v>16</v>
      </c>
    </row>
    <row r="592" spans="1:6" x14ac:dyDescent="0.2">
      <c r="A592">
        <v>29440</v>
      </c>
      <c r="B592" t="s">
        <v>26</v>
      </c>
      <c r="C592">
        <v>8</v>
      </c>
      <c r="D592" t="s">
        <v>18</v>
      </c>
      <c r="E592" s="10">
        <v>2807</v>
      </c>
      <c r="F592" t="s">
        <v>16</v>
      </c>
    </row>
    <row r="593" spans="1:6" x14ac:dyDescent="0.2">
      <c r="A593">
        <v>29447</v>
      </c>
      <c r="B593" t="s">
        <v>17</v>
      </c>
      <c r="C593">
        <v>30</v>
      </c>
      <c r="D593" t="s">
        <v>18</v>
      </c>
      <c r="E593" s="10">
        <v>46246</v>
      </c>
      <c r="F593" t="s">
        <v>16</v>
      </c>
    </row>
    <row r="594" spans="1:6" x14ac:dyDescent="0.2">
      <c r="A594">
        <v>29506</v>
      </c>
      <c r="B594" t="s">
        <v>25</v>
      </c>
      <c r="C594">
        <v>56</v>
      </c>
      <c r="D594" t="s">
        <v>15</v>
      </c>
      <c r="E594" s="10">
        <v>48215</v>
      </c>
      <c r="F594" t="s">
        <v>16</v>
      </c>
    </row>
    <row r="595" spans="1:6" x14ac:dyDescent="0.2">
      <c r="A595">
        <v>29574</v>
      </c>
      <c r="B595" t="s">
        <v>14</v>
      </c>
      <c r="C595">
        <v>16</v>
      </c>
      <c r="D595" t="s">
        <v>18</v>
      </c>
      <c r="E595" s="10">
        <v>2357</v>
      </c>
      <c r="F595" t="s">
        <v>16</v>
      </c>
    </row>
    <row r="596" spans="1:6" x14ac:dyDescent="0.2">
      <c r="A596">
        <v>29795</v>
      </c>
      <c r="B596" t="s">
        <v>21</v>
      </c>
      <c r="C596">
        <v>20</v>
      </c>
      <c r="D596" t="s">
        <v>18</v>
      </c>
      <c r="E596" s="10">
        <v>9597</v>
      </c>
      <c r="F596" t="s">
        <v>16</v>
      </c>
    </row>
    <row r="597" spans="1:6" x14ac:dyDescent="0.2">
      <c r="A597">
        <v>30385</v>
      </c>
      <c r="B597" t="s">
        <v>26</v>
      </c>
      <c r="C597">
        <v>9</v>
      </c>
      <c r="D597" t="s">
        <v>18</v>
      </c>
      <c r="E597" s="10">
        <v>722</v>
      </c>
      <c r="F597" t="s">
        <v>16</v>
      </c>
    </row>
    <row r="598" spans="1:6" hidden="1" x14ac:dyDescent="0.2">
      <c r="A598">
        <v>63343</v>
      </c>
      <c r="B598" t="s">
        <v>17</v>
      </c>
      <c r="C598">
        <v>27</v>
      </c>
      <c r="D598" t="s">
        <v>18</v>
      </c>
      <c r="E598">
        <v>36712</v>
      </c>
      <c r="F598" t="s">
        <v>24</v>
      </c>
    </row>
    <row r="599" spans="1:6" x14ac:dyDescent="0.2">
      <c r="A599">
        <v>30617</v>
      </c>
      <c r="B599" t="s">
        <v>19</v>
      </c>
      <c r="C599">
        <v>4</v>
      </c>
      <c r="D599" t="s">
        <v>15</v>
      </c>
      <c r="E599" s="10">
        <v>791</v>
      </c>
      <c r="F599" t="s">
        <v>16</v>
      </c>
    </row>
    <row r="600" spans="1:6" hidden="1" x14ac:dyDescent="0.2">
      <c r="A600">
        <v>63384</v>
      </c>
      <c r="B600" t="s">
        <v>14</v>
      </c>
      <c r="C600">
        <v>15</v>
      </c>
      <c r="D600" t="s">
        <v>15</v>
      </c>
      <c r="E600">
        <v>2917</v>
      </c>
      <c r="F600" t="s">
        <v>24</v>
      </c>
    </row>
    <row r="601" spans="1:6" x14ac:dyDescent="0.2">
      <c r="A601">
        <v>30673</v>
      </c>
      <c r="B601" t="s">
        <v>26</v>
      </c>
      <c r="C601">
        <v>10</v>
      </c>
      <c r="D601" t="s">
        <v>15</v>
      </c>
      <c r="E601" s="10">
        <v>2189</v>
      </c>
      <c r="F601" t="s">
        <v>16</v>
      </c>
    </row>
    <row r="602" spans="1:6" x14ac:dyDescent="0.2">
      <c r="A602">
        <v>31163</v>
      </c>
      <c r="B602" t="s">
        <v>25</v>
      </c>
      <c r="C602">
        <v>71</v>
      </c>
      <c r="D602" t="s">
        <v>15</v>
      </c>
      <c r="E602" s="10">
        <v>52472</v>
      </c>
      <c r="F602" t="s">
        <v>16</v>
      </c>
    </row>
    <row r="603" spans="1:6" x14ac:dyDescent="0.2">
      <c r="A603">
        <v>31307</v>
      </c>
      <c r="B603" t="s">
        <v>25</v>
      </c>
      <c r="C603">
        <v>88</v>
      </c>
      <c r="D603" t="s">
        <v>15</v>
      </c>
      <c r="E603" s="10">
        <v>54655</v>
      </c>
      <c r="F603" t="s">
        <v>16</v>
      </c>
    </row>
    <row r="604" spans="1:6" x14ac:dyDescent="0.2">
      <c r="A604">
        <v>31642</v>
      </c>
      <c r="B604" t="s">
        <v>26</v>
      </c>
      <c r="C604">
        <v>11</v>
      </c>
      <c r="D604" t="s">
        <v>15</v>
      </c>
      <c r="E604" s="10">
        <v>3335</v>
      </c>
      <c r="F604" t="s">
        <v>16</v>
      </c>
    </row>
    <row r="605" spans="1:6" x14ac:dyDescent="0.2">
      <c r="A605">
        <v>31859</v>
      </c>
      <c r="B605" t="s">
        <v>26</v>
      </c>
      <c r="C605">
        <v>10</v>
      </c>
      <c r="D605" t="s">
        <v>18</v>
      </c>
      <c r="E605" s="10">
        <v>2380</v>
      </c>
      <c r="F605" t="s">
        <v>16</v>
      </c>
    </row>
    <row r="606" spans="1:6" x14ac:dyDescent="0.2">
      <c r="A606">
        <v>31919</v>
      </c>
      <c r="B606" t="s">
        <v>26</v>
      </c>
      <c r="C606">
        <v>10</v>
      </c>
      <c r="D606" t="s">
        <v>18</v>
      </c>
      <c r="E606" s="10">
        <v>1455</v>
      </c>
      <c r="F606" t="s">
        <v>16</v>
      </c>
    </row>
    <row r="607" spans="1:6" x14ac:dyDescent="0.2">
      <c r="A607">
        <v>31960</v>
      </c>
      <c r="B607" t="s">
        <v>17</v>
      </c>
      <c r="C607">
        <v>25</v>
      </c>
      <c r="D607" t="s">
        <v>18</v>
      </c>
      <c r="E607" s="10">
        <v>38730</v>
      </c>
      <c r="F607" t="s">
        <v>16</v>
      </c>
    </row>
    <row r="608" spans="1:6" x14ac:dyDescent="0.2">
      <c r="A608">
        <v>32395</v>
      </c>
      <c r="B608" t="s">
        <v>21</v>
      </c>
      <c r="C608">
        <v>19</v>
      </c>
      <c r="D608" t="s">
        <v>18</v>
      </c>
      <c r="E608" s="10">
        <v>12178</v>
      </c>
      <c r="F608" t="s">
        <v>16</v>
      </c>
    </row>
    <row r="609" spans="1:6" x14ac:dyDescent="0.2">
      <c r="A609">
        <v>32604</v>
      </c>
      <c r="B609" t="s">
        <v>21</v>
      </c>
      <c r="C609">
        <v>20</v>
      </c>
      <c r="D609" t="s">
        <v>15</v>
      </c>
      <c r="E609" s="10">
        <v>11775</v>
      </c>
      <c r="F609" t="s">
        <v>16</v>
      </c>
    </row>
    <row r="610" spans="1:6" x14ac:dyDescent="0.2">
      <c r="A610">
        <v>32664</v>
      </c>
      <c r="B610" t="s">
        <v>17</v>
      </c>
      <c r="C610">
        <v>24</v>
      </c>
      <c r="D610" t="s">
        <v>15</v>
      </c>
      <c r="E610" s="10">
        <v>36279</v>
      </c>
      <c r="F610" t="s">
        <v>16</v>
      </c>
    </row>
    <row r="611" spans="1:6" hidden="1" x14ac:dyDescent="0.2">
      <c r="A611">
        <v>64421</v>
      </c>
      <c r="B611" t="s">
        <v>26</v>
      </c>
      <c r="C611">
        <v>10</v>
      </c>
      <c r="D611" t="s">
        <v>15</v>
      </c>
      <c r="E611">
        <v>3584</v>
      </c>
      <c r="F611" t="s">
        <v>22</v>
      </c>
    </row>
    <row r="612" spans="1:6" x14ac:dyDescent="0.2">
      <c r="A612">
        <v>32745</v>
      </c>
      <c r="B612" t="s">
        <v>17</v>
      </c>
      <c r="C612">
        <v>27</v>
      </c>
      <c r="D612" t="s">
        <v>15</v>
      </c>
      <c r="E612" s="10">
        <v>47021</v>
      </c>
      <c r="F612" t="s">
        <v>16</v>
      </c>
    </row>
    <row r="613" spans="1:6" x14ac:dyDescent="0.2">
      <c r="A613">
        <v>32893</v>
      </c>
      <c r="B613" t="s">
        <v>21</v>
      </c>
      <c r="C613">
        <v>20</v>
      </c>
      <c r="D613" t="s">
        <v>18</v>
      </c>
      <c r="E613" s="10">
        <v>6362</v>
      </c>
      <c r="F613" t="s">
        <v>16</v>
      </c>
    </row>
    <row r="614" spans="1:6" x14ac:dyDescent="0.2">
      <c r="A614">
        <v>33339</v>
      </c>
      <c r="B614" t="s">
        <v>26</v>
      </c>
      <c r="C614">
        <v>11</v>
      </c>
      <c r="D614" t="s">
        <v>18</v>
      </c>
      <c r="E614" s="10">
        <v>1582</v>
      </c>
      <c r="F614" t="s">
        <v>16</v>
      </c>
    </row>
    <row r="615" spans="1:6" x14ac:dyDescent="0.2">
      <c r="A615">
        <v>33375</v>
      </c>
      <c r="B615" t="s">
        <v>19</v>
      </c>
      <c r="C615">
        <v>2</v>
      </c>
      <c r="D615" t="s">
        <v>18</v>
      </c>
      <c r="E615" s="10">
        <v>1347</v>
      </c>
      <c r="F615" t="s">
        <v>16</v>
      </c>
    </row>
    <row r="616" spans="1:6" hidden="1" x14ac:dyDescent="0.2">
      <c r="A616">
        <v>65036</v>
      </c>
      <c r="B616" t="s">
        <v>17</v>
      </c>
      <c r="C616">
        <v>28</v>
      </c>
      <c r="D616" t="s">
        <v>18</v>
      </c>
      <c r="E616">
        <v>33278</v>
      </c>
      <c r="F616" t="s">
        <v>24</v>
      </c>
    </row>
    <row r="617" spans="1:6" hidden="1" x14ac:dyDescent="0.2">
      <c r="A617">
        <v>65255</v>
      </c>
      <c r="B617" t="s">
        <v>25</v>
      </c>
      <c r="C617">
        <v>54</v>
      </c>
      <c r="D617" t="s">
        <v>15</v>
      </c>
      <c r="E617">
        <v>50141</v>
      </c>
      <c r="F617" t="s">
        <v>29</v>
      </c>
    </row>
    <row r="618" spans="1:6" x14ac:dyDescent="0.2">
      <c r="A618">
        <v>33464</v>
      </c>
      <c r="B618" t="s">
        <v>21</v>
      </c>
      <c r="C618">
        <v>18</v>
      </c>
      <c r="D618" t="s">
        <v>15</v>
      </c>
      <c r="E618" s="10">
        <v>13593</v>
      </c>
      <c r="F618" t="s">
        <v>16</v>
      </c>
    </row>
    <row r="619" spans="1:6" x14ac:dyDescent="0.2">
      <c r="A619">
        <v>33551</v>
      </c>
      <c r="B619" t="s">
        <v>26</v>
      </c>
      <c r="C619">
        <v>12</v>
      </c>
      <c r="D619" t="s">
        <v>15</v>
      </c>
      <c r="E619" s="10">
        <v>2880</v>
      </c>
      <c r="F619" t="s">
        <v>16</v>
      </c>
    </row>
    <row r="620" spans="1:6" x14ac:dyDescent="0.2">
      <c r="A620">
        <v>33886</v>
      </c>
      <c r="B620" t="s">
        <v>14</v>
      </c>
      <c r="C620">
        <v>13</v>
      </c>
      <c r="D620" t="s">
        <v>18</v>
      </c>
      <c r="E620" s="10">
        <v>4003</v>
      </c>
      <c r="F620" t="s">
        <v>16</v>
      </c>
    </row>
    <row r="621" spans="1:6" x14ac:dyDescent="0.2">
      <c r="A621">
        <v>34146</v>
      </c>
      <c r="B621" t="s">
        <v>25</v>
      </c>
      <c r="C621">
        <v>69</v>
      </c>
      <c r="D621" t="s">
        <v>18</v>
      </c>
      <c r="E621" s="10">
        <v>67884</v>
      </c>
      <c r="F621" t="s">
        <v>16</v>
      </c>
    </row>
    <row r="622" spans="1:6" x14ac:dyDescent="0.2">
      <c r="A622">
        <v>34278</v>
      </c>
      <c r="B622" t="s">
        <v>17</v>
      </c>
      <c r="C622">
        <v>23</v>
      </c>
      <c r="D622" t="s">
        <v>15</v>
      </c>
      <c r="E622" s="10">
        <v>46590</v>
      </c>
      <c r="F622" t="s">
        <v>16</v>
      </c>
    </row>
    <row r="623" spans="1:6" x14ac:dyDescent="0.2">
      <c r="A623">
        <v>34522</v>
      </c>
      <c r="B623" t="s">
        <v>17</v>
      </c>
      <c r="C623">
        <v>31</v>
      </c>
      <c r="D623" t="s">
        <v>18</v>
      </c>
      <c r="E623" s="10">
        <v>39007</v>
      </c>
      <c r="F623" t="s">
        <v>16</v>
      </c>
    </row>
    <row r="624" spans="1:6" x14ac:dyDescent="0.2">
      <c r="A624">
        <v>34681</v>
      </c>
      <c r="B624" t="s">
        <v>21</v>
      </c>
      <c r="C624">
        <v>21</v>
      </c>
      <c r="D624" t="s">
        <v>18</v>
      </c>
      <c r="E624" s="10">
        <v>10046</v>
      </c>
      <c r="F624" t="s">
        <v>16</v>
      </c>
    </row>
    <row r="625" spans="1:6" x14ac:dyDescent="0.2">
      <c r="A625">
        <v>34763</v>
      </c>
      <c r="B625" t="s">
        <v>25</v>
      </c>
      <c r="C625">
        <v>85</v>
      </c>
      <c r="D625" t="s">
        <v>18</v>
      </c>
      <c r="E625" s="10">
        <v>64898</v>
      </c>
      <c r="F625" t="s">
        <v>16</v>
      </c>
    </row>
    <row r="626" spans="1:6" x14ac:dyDescent="0.2">
      <c r="A626">
        <v>34983</v>
      </c>
      <c r="B626" t="s">
        <v>17</v>
      </c>
      <c r="C626">
        <v>27</v>
      </c>
      <c r="D626" t="s">
        <v>18</v>
      </c>
      <c r="E626" s="10">
        <v>34394</v>
      </c>
      <c r="F626" t="s">
        <v>16</v>
      </c>
    </row>
    <row r="627" spans="1:6" hidden="1" x14ac:dyDescent="0.2">
      <c r="A627">
        <v>65907</v>
      </c>
      <c r="B627" t="s">
        <v>26</v>
      </c>
      <c r="C627">
        <v>12</v>
      </c>
      <c r="D627" t="s">
        <v>18</v>
      </c>
      <c r="E627">
        <v>1854</v>
      </c>
      <c r="F627" t="s">
        <v>22</v>
      </c>
    </row>
    <row r="628" spans="1:6" x14ac:dyDescent="0.2">
      <c r="A628">
        <v>35298</v>
      </c>
      <c r="B628" t="s">
        <v>17</v>
      </c>
      <c r="C628">
        <v>30</v>
      </c>
      <c r="D628" t="s">
        <v>15</v>
      </c>
      <c r="E628" s="10">
        <v>43134</v>
      </c>
      <c r="F628" t="s">
        <v>16</v>
      </c>
    </row>
    <row r="629" spans="1:6" hidden="1" x14ac:dyDescent="0.2">
      <c r="A629">
        <v>66116</v>
      </c>
      <c r="B629" t="s">
        <v>21</v>
      </c>
      <c r="C629">
        <v>18</v>
      </c>
      <c r="D629" t="s">
        <v>18</v>
      </c>
      <c r="E629">
        <v>10535</v>
      </c>
      <c r="F629" t="s">
        <v>24</v>
      </c>
    </row>
    <row r="630" spans="1:6" x14ac:dyDescent="0.2">
      <c r="A630">
        <v>35630</v>
      </c>
      <c r="B630" t="s">
        <v>21</v>
      </c>
      <c r="C630">
        <v>18</v>
      </c>
      <c r="D630" t="s">
        <v>15</v>
      </c>
      <c r="E630" s="10">
        <v>14578</v>
      </c>
      <c r="F630" t="s">
        <v>16</v>
      </c>
    </row>
    <row r="631" spans="1:6" hidden="1" x14ac:dyDescent="0.2">
      <c r="A631">
        <v>66446</v>
      </c>
      <c r="B631" t="s">
        <v>21</v>
      </c>
      <c r="C631">
        <v>18</v>
      </c>
      <c r="D631" t="s">
        <v>18</v>
      </c>
      <c r="E631">
        <v>6620</v>
      </c>
      <c r="F631" t="s">
        <v>24</v>
      </c>
    </row>
    <row r="632" spans="1:6" x14ac:dyDescent="0.2">
      <c r="A632">
        <v>35666</v>
      </c>
      <c r="B632" t="s">
        <v>21</v>
      </c>
      <c r="C632">
        <v>20</v>
      </c>
      <c r="D632" t="s">
        <v>15</v>
      </c>
      <c r="E632" s="10">
        <v>9207</v>
      </c>
      <c r="F632" t="s">
        <v>16</v>
      </c>
    </row>
    <row r="633" spans="1:6" x14ac:dyDescent="0.2">
      <c r="A633">
        <v>36391</v>
      </c>
      <c r="B633" t="s">
        <v>19</v>
      </c>
      <c r="C633">
        <v>1</v>
      </c>
      <c r="D633" t="s">
        <v>15</v>
      </c>
      <c r="E633" s="10">
        <v>384</v>
      </c>
      <c r="F633" t="s">
        <v>16</v>
      </c>
    </row>
    <row r="634" spans="1:6" x14ac:dyDescent="0.2">
      <c r="A634">
        <v>36578</v>
      </c>
      <c r="B634" t="s">
        <v>21</v>
      </c>
      <c r="C634">
        <v>19</v>
      </c>
      <c r="D634" t="s">
        <v>18</v>
      </c>
      <c r="E634" s="10">
        <v>7083</v>
      </c>
      <c r="F634" t="s">
        <v>16</v>
      </c>
    </row>
    <row r="635" spans="1:6" x14ac:dyDescent="0.2">
      <c r="A635">
        <v>36720</v>
      </c>
      <c r="B635" t="s">
        <v>26</v>
      </c>
      <c r="C635">
        <v>9</v>
      </c>
      <c r="D635" t="s">
        <v>18</v>
      </c>
      <c r="E635" s="10">
        <v>2877</v>
      </c>
      <c r="F635" t="s">
        <v>16</v>
      </c>
    </row>
    <row r="636" spans="1:6" x14ac:dyDescent="0.2">
      <c r="A636">
        <v>37287</v>
      </c>
      <c r="B636" t="s">
        <v>21</v>
      </c>
      <c r="C636">
        <v>19</v>
      </c>
      <c r="D636" t="s">
        <v>18</v>
      </c>
      <c r="E636" s="10">
        <v>3157</v>
      </c>
      <c r="F636" t="s">
        <v>16</v>
      </c>
    </row>
    <row r="637" spans="1:6" x14ac:dyDescent="0.2">
      <c r="A637">
        <v>37335</v>
      </c>
      <c r="B637" t="s">
        <v>14</v>
      </c>
      <c r="C637">
        <v>17</v>
      </c>
      <c r="D637" t="s">
        <v>15</v>
      </c>
      <c r="E637" s="10">
        <v>3694</v>
      </c>
      <c r="F637" t="s">
        <v>16</v>
      </c>
    </row>
    <row r="638" spans="1:6" x14ac:dyDescent="0.2">
      <c r="A638">
        <v>37415</v>
      </c>
      <c r="B638" t="s">
        <v>21</v>
      </c>
      <c r="C638">
        <v>18</v>
      </c>
      <c r="D638" t="s">
        <v>15</v>
      </c>
      <c r="E638" s="10">
        <v>8299</v>
      </c>
      <c r="F638" t="s">
        <v>16</v>
      </c>
    </row>
    <row r="639" spans="1:6" x14ac:dyDescent="0.2">
      <c r="A639">
        <v>37731</v>
      </c>
      <c r="B639" t="s">
        <v>21</v>
      </c>
      <c r="C639">
        <v>19</v>
      </c>
      <c r="D639" t="s">
        <v>18</v>
      </c>
      <c r="E639" s="10">
        <v>12481</v>
      </c>
      <c r="F639" t="s">
        <v>16</v>
      </c>
    </row>
    <row r="640" spans="1:6" x14ac:dyDescent="0.2">
      <c r="A640">
        <v>38121</v>
      </c>
      <c r="B640" t="s">
        <v>17</v>
      </c>
      <c r="C640">
        <v>37</v>
      </c>
      <c r="D640" t="s">
        <v>15</v>
      </c>
      <c r="E640" s="10">
        <v>37948</v>
      </c>
      <c r="F640" t="s">
        <v>16</v>
      </c>
    </row>
    <row r="641" spans="1:6" x14ac:dyDescent="0.2">
      <c r="A641">
        <v>38584</v>
      </c>
      <c r="B641" t="s">
        <v>14</v>
      </c>
      <c r="C641">
        <v>14</v>
      </c>
      <c r="D641" t="s">
        <v>15</v>
      </c>
      <c r="E641" s="10">
        <v>5530</v>
      </c>
      <c r="F641" t="s">
        <v>16</v>
      </c>
    </row>
    <row r="642" spans="1:6" hidden="1" x14ac:dyDescent="0.2">
      <c r="A642">
        <v>67343</v>
      </c>
      <c r="B642" t="s">
        <v>25</v>
      </c>
      <c r="C642">
        <v>65</v>
      </c>
      <c r="D642" t="s">
        <v>18</v>
      </c>
      <c r="E642">
        <v>55442</v>
      </c>
      <c r="F642" t="s">
        <v>22</v>
      </c>
    </row>
    <row r="643" spans="1:6" hidden="1" x14ac:dyDescent="0.2">
      <c r="A643">
        <v>67403</v>
      </c>
      <c r="B643" t="s">
        <v>21</v>
      </c>
      <c r="C643">
        <v>18</v>
      </c>
      <c r="D643" t="s">
        <v>18</v>
      </c>
      <c r="E643">
        <v>9846</v>
      </c>
      <c r="F643" t="s">
        <v>24</v>
      </c>
    </row>
    <row r="644" spans="1:6" x14ac:dyDescent="0.2">
      <c r="A644">
        <v>38975</v>
      </c>
      <c r="B644" t="s">
        <v>17</v>
      </c>
      <c r="C644">
        <v>24</v>
      </c>
      <c r="D644" t="s">
        <v>15</v>
      </c>
      <c r="E644" s="10">
        <v>39345</v>
      </c>
      <c r="F644" t="s">
        <v>16</v>
      </c>
    </row>
    <row r="645" spans="1:6" x14ac:dyDescent="0.2">
      <c r="A645">
        <v>39095</v>
      </c>
      <c r="B645" t="s">
        <v>21</v>
      </c>
      <c r="C645">
        <v>20</v>
      </c>
      <c r="D645" t="s">
        <v>15</v>
      </c>
      <c r="E645" s="10">
        <v>6272</v>
      </c>
      <c r="F645" t="s">
        <v>16</v>
      </c>
    </row>
    <row r="646" spans="1:6" x14ac:dyDescent="0.2">
      <c r="A646">
        <v>39131</v>
      </c>
      <c r="B646" t="s">
        <v>19</v>
      </c>
      <c r="C646">
        <v>0</v>
      </c>
      <c r="D646" t="s">
        <v>15</v>
      </c>
      <c r="E646" s="10">
        <v>685</v>
      </c>
      <c r="F646" t="s">
        <v>16</v>
      </c>
    </row>
    <row r="647" spans="1:6" x14ac:dyDescent="0.2">
      <c r="A647">
        <v>39287</v>
      </c>
      <c r="B647" t="s">
        <v>25</v>
      </c>
      <c r="C647">
        <v>59</v>
      </c>
      <c r="D647" t="s">
        <v>15</v>
      </c>
      <c r="E647" s="10">
        <v>44734</v>
      </c>
      <c r="F647" t="s">
        <v>16</v>
      </c>
    </row>
    <row r="648" spans="1:6" x14ac:dyDescent="0.2">
      <c r="A648">
        <v>39672</v>
      </c>
      <c r="B648" t="s">
        <v>25</v>
      </c>
      <c r="C648">
        <v>54</v>
      </c>
      <c r="D648" t="s">
        <v>15</v>
      </c>
      <c r="E648" s="10">
        <v>52833</v>
      </c>
      <c r="F648" t="s">
        <v>16</v>
      </c>
    </row>
    <row r="649" spans="1:6" x14ac:dyDescent="0.2">
      <c r="A649">
        <v>39795</v>
      </c>
      <c r="B649" t="s">
        <v>19</v>
      </c>
      <c r="C649">
        <v>5</v>
      </c>
      <c r="D649" t="s">
        <v>15</v>
      </c>
      <c r="E649" s="10">
        <v>1088</v>
      </c>
      <c r="F649" t="s">
        <v>16</v>
      </c>
    </row>
    <row r="650" spans="1:6" hidden="1" x14ac:dyDescent="0.2">
      <c r="A650">
        <v>67978</v>
      </c>
      <c r="B650" t="s">
        <v>17</v>
      </c>
      <c r="C650">
        <v>27</v>
      </c>
      <c r="D650" t="s">
        <v>15</v>
      </c>
      <c r="E650">
        <v>32886</v>
      </c>
      <c r="F650" t="s">
        <v>24</v>
      </c>
    </row>
    <row r="651" spans="1:6" hidden="1" x14ac:dyDescent="0.2">
      <c r="A651">
        <v>68112</v>
      </c>
      <c r="B651" t="s">
        <v>17</v>
      </c>
      <c r="C651">
        <v>36</v>
      </c>
      <c r="D651" t="s">
        <v>18</v>
      </c>
      <c r="E651">
        <v>38400</v>
      </c>
      <c r="F651" t="s">
        <v>22</v>
      </c>
    </row>
    <row r="652" spans="1:6" x14ac:dyDescent="0.2">
      <c r="A652">
        <v>40409</v>
      </c>
      <c r="B652" t="s">
        <v>17</v>
      </c>
      <c r="C652">
        <v>30</v>
      </c>
      <c r="D652" t="s">
        <v>18</v>
      </c>
      <c r="E652" s="10">
        <v>36469</v>
      </c>
      <c r="F652" t="s">
        <v>16</v>
      </c>
    </row>
    <row r="653" spans="1:6" x14ac:dyDescent="0.2">
      <c r="A653">
        <v>40412</v>
      </c>
      <c r="B653" t="s">
        <v>26</v>
      </c>
      <c r="C653">
        <v>12</v>
      </c>
      <c r="D653" t="s">
        <v>18</v>
      </c>
      <c r="E653" s="10">
        <v>2269</v>
      </c>
      <c r="F653" t="s">
        <v>16</v>
      </c>
    </row>
    <row r="654" spans="1:6" x14ac:dyDescent="0.2">
      <c r="A654">
        <v>40847</v>
      </c>
      <c r="B654" t="s">
        <v>21</v>
      </c>
      <c r="C654">
        <v>21</v>
      </c>
      <c r="D654" t="s">
        <v>15</v>
      </c>
      <c r="E654" s="10">
        <v>10973</v>
      </c>
      <c r="F654" t="s">
        <v>16</v>
      </c>
    </row>
    <row r="655" spans="1:6" x14ac:dyDescent="0.2">
      <c r="A655">
        <v>40987</v>
      </c>
      <c r="B655" t="s">
        <v>14</v>
      </c>
      <c r="C655">
        <v>14</v>
      </c>
      <c r="D655" t="s">
        <v>15</v>
      </c>
      <c r="E655" s="10">
        <v>2366</v>
      </c>
      <c r="F655" t="s">
        <v>16</v>
      </c>
    </row>
    <row r="656" spans="1:6" hidden="1" x14ac:dyDescent="0.2">
      <c r="A656">
        <v>68507</v>
      </c>
      <c r="B656" t="s">
        <v>21</v>
      </c>
      <c r="C656">
        <v>20</v>
      </c>
      <c r="D656" t="s">
        <v>15</v>
      </c>
      <c r="E656">
        <v>6771</v>
      </c>
      <c r="F656" t="s">
        <v>24</v>
      </c>
    </row>
    <row r="657" spans="1:6" hidden="1" x14ac:dyDescent="0.2">
      <c r="A657">
        <v>68570</v>
      </c>
      <c r="B657" t="s">
        <v>21</v>
      </c>
      <c r="C657">
        <v>20</v>
      </c>
      <c r="D657" t="s">
        <v>18</v>
      </c>
      <c r="E657">
        <v>12265</v>
      </c>
      <c r="F657" t="s">
        <v>24</v>
      </c>
    </row>
    <row r="658" spans="1:6" x14ac:dyDescent="0.2">
      <c r="A658">
        <v>41163</v>
      </c>
      <c r="B658" t="s">
        <v>17</v>
      </c>
      <c r="C658">
        <v>32</v>
      </c>
      <c r="D658" t="s">
        <v>15</v>
      </c>
      <c r="E658" s="10">
        <v>45017</v>
      </c>
      <c r="F658" t="s">
        <v>16</v>
      </c>
    </row>
    <row r="659" spans="1:6" x14ac:dyDescent="0.2">
      <c r="A659">
        <v>41831</v>
      </c>
      <c r="B659" t="s">
        <v>26</v>
      </c>
      <c r="C659">
        <v>7</v>
      </c>
      <c r="D659" t="s">
        <v>18</v>
      </c>
      <c r="E659" s="10">
        <v>1645</v>
      </c>
      <c r="F659" t="s">
        <v>16</v>
      </c>
    </row>
    <row r="660" spans="1:6" hidden="1" x14ac:dyDescent="0.2">
      <c r="A660">
        <v>68724</v>
      </c>
      <c r="B660" t="s">
        <v>26</v>
      </c>
      <c r="C660">
        <v>8</v>
      </c>
      <c r="D660" t="s">
        <v>15</v>
      </c>
      <c r="E660">
        <v>1733</v>
      </c>
      <c r="F660" t="s">
        <v>22</v>
      </c>
    </row>
    <row r="661" spans="1:6" x14ac:dyDescent="0.2">
      <c r="A661">
        <v>42229</v>
      </c>
      <c r="B661" t="s">
        <v>14</v>
      </c>
      <c r="C661">
        <v>16</v>
      </c>
      <c r="D661" t="s">
        <v>15</v>
      </c>
      <c r="E661" s="10">
        <v>3977</v>
      </c>
      <c r="F661" t="s">
        <v>16</v>
      </c>
    </row>
    <row r="662" spans="1:6" hidden="1" x14ac:dyDescent="0.2">
      <c r="A662">
        <v>68824</v>
      </c>
      <c r="B662" t="s">
        <v>19</v>
      </c>
      <c r="C662">
        <v>5</v>
      </c>
      <c r="D662" t="s">
        <v>15</v>
      </c>
      <c r="E662">
        <v>1339</v>
      </c>
      <c r="F662" t="s">
        <v>24</v>
      </c>
    </row>
    <row r="663" spans="1:6" hidden="1" x14ac:dyDescent="0.2">
      <c r="A663">
        <v>68830</v>
      </c>
      <c r="B663" t="s">
        <v>26</v>
      </c>
      <c r="C663">
        <v>8</v>
      </c>
      <c r="D663" t="s">
        <v>18</v>
      </c>
      <c r="E663">
        <v>1594</v>
      </c>
      <c r="F663" t="s">
        <v>24</v>
      </c>
    </row>
    <row r="664" spans="1:6" x14ac:dyDescent="0.2">
      <c r="A664">
        <v>42265</v>
      </c>
      <c r="B664" t="s">
        <v>14</v>
      </c>
      <c r="C664">
        <v>16</v>
      </c>
      <c r="D664" t="s">
        <v>15</v>
      </c>
      <c r="E664" s="10">
        <v>4215</v>
      </c>
      <c r="F664" t="s">
        <v>16</v>
      </c>
    </row>
    <row r="665" spans="1:6" x14ac:dyDescent="0.2">
      <c r="A665">
        <v>42348</v>
      </c>
      <c r="B665" t="s">
        <v>25</v>
      </c>
      <c r="C665">
        <v>74</v>
      </c>
      <c r="D665" t="s">
        <v>18</v>
      </c>
      <c r="E665" s="10">
        <v>52041</v>
      </c>
      <c r="F665" t="s">
        <v>16</v>
      </c>
    </row>
    <row r="666" spans="1:6" x14ac:dyDescent="0.2">
      <c r="A666">
        <v>42657</v>
      </c>
      <c r="B666" t="s">
        <v>25</v>
      </c>
      <c r="C666">
        <v>86</v>
      </c>
      <c r="D666" t="s">
        <v>18</v>
      </c>
      <c r="E666" s="10">
        <v>60452</v>
      </c>
      <c r="F666" t="s">
        <v>16</v>
      </c>
    </row>
    <row r="667" spans="1:6" x14ac:dyDescent="0.2">
      <c r="A667">
        <v>42905</v>
      </c>
      <c r="B667" t="s">
        <v>25</v>
      </c>
      <c r="C667">
        <v>74</v>
      </c>
      <c r="D667" t="s">
        <v>15</v>
      </c>
      <c r="E667" s="10">
        <v>57760</v>
      </c>
      <c r="F667" t="s">
        <v>16</v>
      </c>
    </row>
    <row r="668" spans="1:6" x14ac:dyDescent="0.2">
      <c r="A668">
        <v>43188</v>
      </c>
      <c r="B668" t="s">
        <v>21</v>
      </c>
      <c r="C668">
        <v>21</v>
      </c>
      <c r="D668" t="s">
        <v>15</v>
      </c>
      <c r="E668" s="10">
        <v>10063</v>
      </c>
      <c r="F668" t="s">
        <v>16</v>
      </c>
    </row>
    <row r="669" spans="1:6" hidden="1" x14ac:dyDescent="0.2">
      <c r="A669">
        <v>69499</v>
      </c>
      <c r="B669" t="s">
        <v>21</v>
      </c>
      <c r="C669">
        <v>20</v>
      </c>
      <c r="D669" t="s">
        <v>18</v>
      </c>
      <c r="E669">
        <v>10976</v>
      </c>
      <c r="F669" t="s">
        <v>24</v>
      </c>
    </row>
    <row r="670" spans="1:6" hidden="1" x14ac:dyDescent="0.2">
      <c r="A670">
        <v>69542</v>
      </c>
      <c r="B670" t="s">
        <v>19</v>
      </c>
      <c r="C670">
        <v>5</v>
      </c>
      <c r="D670" t="s">
        <v>15</v>
      </c>
      <c r="E670">
        <v>1053</v>
      </c>
      <c r="F670" t="s">
        <v>23</v>
      </c>
    </row>
    <row r="671" spans="1:6" x14ac:dyDescent="0.2">
      <c r="A671">
        <v>43308</v>
      </c>
      <c r="B671" t="s">
        <v>17</v>
      </c>
      <c r="C671">
        <v>34</v>
      </c>
      <c r="D671" t="s">
        <v>15</v>
      </c>
      <c r="E671" s="10">
        <v>46325</v>
      </c>
      <c r="F671" t="s">
        <v>16</v>
      </c>
    </row>
    <row r="672" spans="1:6" x14ac:dyDescent="0.2">
      <c r="A672">
        <v>43455</v>
      </c>
      <c r="B672" t="s">
        <v>25</v>
      </c>
      <c r="C672">
        <v>57</v>
      </c>
      <c r="D672" t="s">
        <v>18</v>
      </c>
      <c r="E672" s="10">
        <v>48363</v>
      </c>
      <c r="F672" t="s">
        <v>16</v>
      </c>
    </row>
    <row r="673" spans="1:6" x14ac:dyDescent="0.2">
      <c r="A673">
        <v>43516</v>
      </c>
      <c r="B673" t="s">
        <v>14</v>
      </c>
      <c r="C673">
        <v>16</v>
      </c>
      <c r="D673" t="s">
        <v>15</v>
      </c>
      <c r="E673" s="10">
        <v>3740</v>
      </c>
      <c r="F673" t="s">
        <v>16</v>
      </c>
    </row>
    <row r="674" spans="1:6" x14ac:dyDescent="0.2">
      <c r="A674">
        <v>43735</v>
      </c>
      <c r="B674" t="s">
        <v>26</v>
      </c>
      <c r="C674">
        <v>9</v>
      </c>
      <c r="D674" t="s">
        <v>15</v>
      </c>
      <c r="E674" s="10">
        <v>2854</v>
      </c>
      <c r="F674" t="s">
        <v>16</v>
      </c>
    </row>
    <row r="675" spans="1:6" x14ac:dyDescent="0.2">
      <c r="A675">
        <v>43767</v>
      </c>
      <c r="B675" t="s">
        <v>14</v>
      </c>
      <c r="C675">
        <v>15</v>
      </c>
      <c r="D675" t="s">
        <v>15</v>
      </c>
      <c r="E675" s="10">
        <v>4036</v>
      </c>
      <c r="F675" t="s">
        <v>16</v>
      </c>
    </row>
    <row r="676" spans="1:6" x14ac:dyDescent="0.2">
      <c r="A676">
        <v>43881</v>
      </c>
      <c r="B676" t="s">
        <v>14</v>
      </c>
      <c r="C676">
        <v>17</v>
      </c>
      <c r="D676" t="s">
        <v>15</v>
      </c>
      <c r="E676" s="10">
        <v>3677</v>
      </c>
      <c r="F676" t="s">
        <v>16</v>
      </c>
    </row>
    <row r="677" spans="1:6" hidden="1" x14ac:dyDescent="0.2">
      <c r="A677">
        <v>70035</v>
      </c>
      <c r="B677" t="s">
        <v>17</v>
      </c>
      <c r="C677">
        <v>30</v>
      </c>
      <c r="D677" t="s">
        <v>15</v>
      </c>
      <c r="E677">
        <v>40727</v>
      </c>
      <c r="F677" t="s">
        <v>29</v>
      </c>
    </row>
    <row r="678" spans="1:6" x14ac:dyDescent="0.2">
      <c r="A678">
        <v>43990</v>
      </c>
      <c r="B678" t="s">
        <v>17</v>
      </c>
      <c r="C678">
        <v>27</v>
      </c>
      <c r="D678" t="s">
        <v>15</v>
      </c>
      <c r="E678" s="10">
        <v>48745</v>
      </c>
      <c r="F678" t="s">
        <v>16</v>
      </c>
    </row>
    <row r="679" spans="1:6" x14ac:dyDescent="0.2">
      <c r="A679">
        <v>44312</v>
      </c>
      <c r="B679" t="s">
        <v>26</v>
      </c>
      <c r="C679">
        <v>12</v>
      </c>
      <c r="D679" t="s">
        <v>18</v>
      </c>
      <c r="E679" s="10">
        <v>1109</v>
      </c>
      <c r="F679" t="s">
        <v>16</v>
      </c>
    </row>
    <row r="680" spans="1:6" x14ac:dyDescent="0.2">
      <c r="A680">
        <v>44613</v>
      </c>
      <c r="B680" t="s">
        <v>17</v>
      </c>
      <c r="C680">
        <v>26</v>
      </c>
      <c r="D680" t="s">
        <v>18</v>
      </c>
      <c r="E680" s="10">
        <v>40637</v>
      </c>
      <c r="F680" t="s">
        <v>16</v>
      </c>
    </row>
    <row r="681" spans="1:6" x14ac:dyDescent="0.2">
      <c r="A681">
        <v>44973</v>
      </c>
      <c r="B681" t="s">
        <v>17</v>
      </c>
      <c r="C681">
        <v>28</v>
      </c>
      <c r="D681" t="s">
        <v>18</v>
      </c>
      <c r="E681" s="10">
        <v>41464</v>
      </c>
      <c r="F681" t="s">
        <v>16</v>
      </c>
    </row>
    <row r="682" spans="1:6" hidden="1" x14ac:dyDescent="0.2">
      <c r="A682">
        <v>70594</v>
      </c>
      <c r="B682" t="s">
        <v>14</v>
      </c>
      <c r="C682">
        <v>14</v>
      </c>
      <c r="D682" t="s">
        <v>15</v>
      </c>
      <c r="E682">
        <v>3060</v>
      </c>
      <c r="F682" t="s">
        <v>24</v>
      </c>
    </row>
    <row r="683" spans="1:6" x14ac:dyDescent="0.2">
      <c r="A683">
        <v>45274</v>
      </c>
      <c r="B683" t="s">
        <v>25</v>
      </c>
      <c r="C683">
        <v>57</v>
      </c>
      <c r="D683" t="s">
        <v>15</v>
      </c>
      <c r="E683" s="10">
        <v>42897</v>
      </c>
      <c r="F683" t="s">
        <v>16</v>
      </c>
    </row>
    <row r="684" spans="1:6" x14ac:dyDescent="0.2">
      <c r="A684">
        <v>45319</v>
      </c>
      <c r="B684" t="s">
        <v>25</v>
      </c>
      <c r="C684">
        <v>76</v>
      </c>
      <c r="D684" t="s">
        <v>18</v>
      </c>
      <c r="E684" s="10">
        <v>59829</v>
      </c>
      <c r="F684" t="s">
        <v>16</v>
      </c>
    </row>
    <row r="685" spans="1:6" x14ac:dyDescent="0.2">
      <c r="A685">
        <v>45499</v>
      </c>
      <c r="B685" t="s">
        <v>14</v>
      </c>
      <c r="C685">
        <v>14</v>
      </c>
      <c r="D685" t="s">
        <v>15</v>
      </c>
      <c r="E685" s="10">
        <v>4363</v>
      </c>
      <c r="F685" t="s">
        <v>16</v>
      </c>
    </row>
    <row r="686" spans="1:6" x14ac:dyDescent="0.2">
      <c r="A686">
        <v>45600</v>
      </c>
      <c r="B686" t="s">
        <v>26</v>
      </c>
      <c r="C686">
        <v>8</v>
      </c>
      <c r="D686" t="s">
        <v>18</v>
      </c>
      <c r="E686" s="10">
        <v>1332</v>
      </c>
      <c r="F686" t="s">
        <v>16</v>
      </c>
    </row>
    <row r="687" spans="1:6" x14ac:dyDescent="0.2">
      <c r="A687">
        <v>45798</v>
      </c>
      <c r="B687" t="s">
        <v>26</v>
      </c>
      <c r="C687">
        <v>11</v>
      </c>
      <c r="D687" t="s">
        <v>15</v>
      </c>
      <c r="E687" s="10">
        <v>1217</v>
      </c>
      <c r="F687" t="s">
        <v>16</v>
      </c>
    </row>
    <row r="688" spans="1:6" hidden="1" x14ac:dyDescent="0.2">
      <c r="A688">
        <v>71073</v>
      </c>
      <c r="B688" t="s">
        <v>14</v>
      </c>
      <c r="C688">
        <v>14</v>
      </c>
      <c r="D688" t="s">
        <v>15</v>
      </c>
      <c r="E688">
        <v>5062</v>
      </c>
      <c r="F688" t="s">
        <v>23</v>
      </c>
    </row>
    <row r="689" spans="1:6" x14ac:dyDescent="0.2">
      <c r="A689">
        <v>45827</v>
      </c>
      <c r="B689" t="s">
        <v>25</v>
      </c>
      <c r="C689">
        <v>89</v>
      </c>
      <c r="D689" t="s">
        <v>15</v>
      </c>
      <c r="E689" s="10">
        <v>58304</v>
      </c>
      <c r="F689" t="s">
        <v>16</v>
      </c>
    </row>
    <row r="690" spans="1:6" hidden="1" x14ac:dyDescent="0.2">
      <c r="A690">
        <v>71271</v>
      </c>
      <c r="B690" t="s">
        <v>17</v>
      </c>
      <c r="C690">
        <v>27</v>
      </c>
      <c r="D690" t="s">
        <v>15</v>
      </c>
      <c r="E690">
        <v>39454</v>
      </c>
      <c r="F690" t="s">
        <v>24</v>
      </c>
    </row>
    <row r="691" spans="1:6" x14ac:dyDescent="0.2">
      <c r="A691">
        <v>45828</v>
      </c>
      <c r="B691" t="s">
        <v>19</v>
      </c>
      <c r="C691">
        <v>2</v>
      </c>
      <c r="D691" t="s">
        <v>15</v>
      </c>
      <c r="E691" s="10">
        <v>1113</v>
      </c>
      <c r="F691" t="s">
        <v>16</v>
      </c>
    </row>
    <row r="692" spans="1:6" x14ac:dyDescent="0.2">
      <c r="A692">
        <v>45958</v>
      </c>
      <c r="B692" t="s">
        <v>25</v>
      </c>
      <c r="C692">
        <v>73</v>
      </c>
      <c r="D692" t="s">
        <v>18</v>
      </c>
      <c r="E692" s="10">
        <v>47997</v>
      </c>
      <c r="F692" t="s">
        <v>16</v>
      </c>
    </row>
    <row r="693" spans="1:6" x14ac:dyDescent="0.2">
      <c r="A693">
        <v>45962</v>
      </c>
      <c r="B693" t="s">
        <v>21</v>
      </c>
      <c r="C693">
        <v>19</v>
      </c>
      <c r="D693" t="s">
        <v>15</v>
      </c>
      <c r="E693" s="10">
        <v>10502</v>
      </c>
      <c r="F693" t="s">
        <v>16</v>
      </c>
    </row>
    <row r="694" spans="1:6" x14ac:dyDescent="0.2">
      <c r="A694">
        <v>46063</v>
      </c>
      <c r="B694" t="s">
        <v>14</v>
      </c>
      <c r="C694">
        <v>13</v>
      </c>
      <c r="D694" t="s">
        <v>18</v>
      </c>
      <c r="E694" s="10">
        <v>5872</v>
      </c>
      <c r="F694" t="s">
        <v>16</v>
      </c>
    </row>
    <row r="695" spans="1:6" x14ac:dyDescent="0.2">
      <c r="A695">
        <v>46251</v>
      </c>
      <c r="B695" t="s">
        <v>17</v>
      </c>
      <c r="C695">
        <v>33</v>
      </c>
      <c r="D695" t="s">
        <v>18</v>
      </c>
      <c r="E695" s="10">
        <v>27090</v>
      </c>
      <c r="F695" t="s">
        <v>16</v>
      </c>
    </row>
    <row r="696" spans="1:6" x14ac:dyDescent="0.2">
      <c r="A696">
        <v>46498</v>
      </c>
      <c r="B696" t="s">
        <v>26</v>
      </c>
      <c r="C696">
        <v>7</v>
      </c>
      <c r="D696" t="s">
        <v>18</v>
      </c>
      <c r="E696" s="10">
        <v>2415</v>
      </c>
      <c r="F696" t="s">
        <v>16</v>
      </c>
    </row>
    <row r="697" spans="1:6" x14ac:dyDescent="0.2">
      <c r="A697">
        <v>46945</v>
      </c>
      <c r="B697" t="s">
        <v>17</v>
      </c>
      <c r="C697">
        <v>35</v>
      </c>
      <c r="D697" t="s">
        <v>15</v>
      </c>
      <c r="E697" s="10">
        <v>32529</v>
      </c>
      <c r="F697" t="s">
        <v>16</v>
      </c>
    </row>
    <row r="698" spans="1:6" hidden="1" x14ac:dyDescent="0.2">
      <c r="A698">
        <v>71928</v>
      </c>
      <c r="B698" t="s">
        <v>21</v>
      </c>
      <c r="C698">
        <v>20</v>
      </c>
      <c r="D698" t="s">
        <v>18</v>
      </c>
      <c r="E698">
        <v>12392</v>
      </c>
      <c r="F698" t="s">
        <v>24</v>
      </c>
    </row>
    <row r="699" spans="1:6" hidden="1" x14ac:dyDescent="0.2">
      <c r="A699">
        <v>71969</v>
      </c>
      <c r="B699" t="s">
        <v>14</v>
      </c>
      <c r="C699">
        <v>16</v>
      </c>
      <c r="D699" t="s">
        <v>18</v>
      </c>
      <c r="E699">
        <v>4166</v>
      </c>
      <c r="F699" t="s">
        <v>22</v>
      </c>
    </row>
    <row r="700" spans="1:6" x14ac:dyDescent="0.2">
      <c r="A700">
        <v>46977</v>
      </c>
      <c r="B700" t="s">
        <v>14</v>
      </c>
      <c r="C700">
        <v>16</v>
      </c>
      <c r="D700" t="s">
        <v>15</v>
      </c>
      <c r="E700" s="10">
        <v>3738</v>
      </c>
      <c r="F700" t="s">
        <v>16</v>
      </c>
    </row>
    <row r="701" spans="1:6" x14ac:dyDescent="0.2">
      <c r="A701">
        <v>47979</v>
      </c>
      <c r="B701" t="s">
        <v>17</v>
      </c>
      <c r="C701">
        <v>22</v>
      </c>
      <c r="D701" t="s">
        <v>18</v>
      </c>
      <c r="E701" s="10">
        <v>27058</v>
      </c>
      <c r="F701" t="s">
        <v>16</v>
      </c>
    </row>
    <row r="702" spans="1:6" hidden="1" x14ac:dyDescent="0.2">
      <c r="A702">
        <v>72341</v>
      </c>
      <c r="B702" t="s">
        <v>26</v>
      </c>
      <c r="C702">
        <v>6</v>
      </c>
      <c r="D702" t="s">
        <v>18</v>
      </c>
      <c r="E702">
        <v>2597</v>
      </c>
      <c r="F702" t="s">
        <v>24</v>
      </c>
    </row>
    <row r="703" spans="1:6" x14ac:dyDescent="0.2">
      <c r="A703">
        <v>47997</v>
      </c>
      <c r="B703" t="s">
        <v>25</v>
      </c>
      <c r="C703">
        <v>64</v>
      </c>
      <c r="D703" t="s">
        <v>18</v>
      </c>
      <c r="E703" s="10">
        <v>57119</v>
      </c>
      <c r="F703" t="s">
        <v>16</v>
      </c>
    </row>
    <row r="704" spans="1:6" x14ac:dyDescent="0.2">
      <c r="A704">
        <v>48169</v>
      </c>
      <c r="B704" t="s">
        <v>14</v>
      </c>
      <c r="C704">
        <v>16</v>
      </c>
      <c r="D704" t="s">
        <v>18</v>
      </c>
      <c r="E704" s="10">
        <v>4550</v>
      </c>
      <c r="F704" t="s">
        <v>16</v>
      </c>
    </row>
    <row r="705" spans="1:6" x14ac:dyDescent="0.2">
      <c r="A705">
        <v>49463</v>
      </c>
      <c r="B705" t="s">
        <v>14</v>
      </c>
      <c r="C705">
        <v>13</v>
      </c>
      <c r="D705" t="s">
        <v>18</v>
      </c>
      <c r="E705" s="10">
        <v>4245</v>
      </c>
      <c r="F705" t="s">
        <v>16</v>
      </c>
    </row>
    <row r="706" spans="1:6" hidden="1" x14ac:dyDescent="0.2">
      <c r="A706">
        <v>72511</v>
      </c>
      <c r="B706" t="s">
        <v>25</v>
      </c>
      <c r="C706">
        <v>56</v>
      </c>
      <c r="D706" t="s">
        <v>18</v>
      </c>
      <c r="E706">
        <v>52618</v>
      </c>
      <c r="F706" t="s">
        <v>22</v>
      </c>
    </row>
    <row r="707" spans="1:6" hidden="1" x14ac:dyDescent="0.2">
      <c r="A707">
        <v>72593</v>
      </c>
      <c r="B707" t="s">
        <v>17</v>
      </c>
      <c r="C707">
        <v>22</v>
      </c>
      <c r="D707" t="s">
        <v>15</v>
      </c>
      <c r="E707">
        <v>31853</v>
      </c>
      <c r="F707" t="s">
        <v>22</v>
      </c>
    </row>
    <row r="708" spans="1:6" x14ac:dyDescent="0.2">
      <c r="A708">
        <v>49631</v>
      </c>
      <c r="B708" t="s">
        <v>26</v>
      </c>
      <c r="C708">
        <v>10</v>
      </c>
      <c r="D708" t="s">
        <v>18</v>
      </c>
      <c r="E708" s="10">
        <v>676</v>
      </c>
      <c r="F708" t="s">
        <v>16</v>
      </c>
    </row>
    <row r="709" spans="1:6" x14ac:dyDescent="0.2">
      <c r="A709">
        <v>49977</v>
      </c>
      <c r="B709" t="s">
        <v>17</v>
      </c>
      <c r="C709">
        <v>25</v>
      </c>
      <c r="D709" t="s">
        <v>15</v>
      </c>
      <c r="E709" s="10">
        <v>44916</v>
      </c>
      <c r="F709" t="s">
        <v>16</v>
      </c>
    </row>
    <row r="710" spans="1:6" hidden="1" x14ac:dyDescent="0.2">
      <c r="A710">
        <v>72729</v>
      </c>
      <c r="B710" t="s">
        <v>14</v>
      </c>
      <c r="C710">
        <v>16</v>
      </c>
      <c r="D710" t="s">
        <v>18</v>
      </c>
      <c r="E710">
        <v>4615</v>
      </c>
      <c r="F710" t="s">
        <v>28</v>
      </c>
    </row>
    <row r="711" spans="1:6" hidden="1" x14ac:dyDescent="0.2">
      <c r="A711">
        <v>72808</v>
      </c>
      <c r="B711" t="s">
        <v>21</v>
      </c>
      <c r="C711">
        <v>18</v>
      </c>
      <c r="D711" t="s">
        <v>18</v>
      </c>
      <c r="E711">
        <v>11282</v>
      </c>
      <c r="F711" t="s">
        <v>24</v>
      </c>
    </row>
    <row r="712" spans="1:6" x14ac:dyDescent="0.2">
      <c r="A712">
        <v>50208</v>
      </c>
      <c r="B712" t="s">
        <v>17</v>
      </c>
      <c r="C712">
        <v>25</v>
      </c>
      <c r="D712" t="s">
        <v>15</v>
      </c>
      <c r="E712" s="10">
        <v>41752</v>
      </c>
      <c r="F712" t="s">
        <v>16</v>
      </c>
    </row>
    <row r="713" spans="1:6" x14ac:dyDescent="0.2">
      <c r="A713">
        <v>50349</v>
      </c>
      <c r="B713" t="s">
        <v>14</v>
      </c>
      <c r="C713">
        <v>16</v>
      </c>
      <c r="D713" t="s">
        <v>15</v>
      </c>
      <c r="E713" s="10">
        <v>3555</v>
      </c>
      <c r="F713" t="s">
        <v>16</v>
      </c>
    </row>
    <row r="714" spans="1:6" x14ac:dyDescent="0.2">
      <c r="A714">
        <v>50652</v>
      </c>
      <c r="B714" t="s">
        <v>14</v>
      </c>
      <c r="C714">
        <v>15</v>
      </c>
      <c r="D714" t="s">
        <v>18</v>
      </c>
      <c r="E714" s="10">
        <v>3015</v>
      </c>
      <c r="F714" t="s">
        <v>16</v>
      </c>
    </row>
    <row r="715" spans="1:6" x14ac:dyDescent="0.2">
      <c r="A715">
        <v>50913</v>
      </c>
      <c r="B715" t="s">
        <v>21</v>
      </c>
      <c r="C715">
        <v>18</v>
      </c>
      <c r="D715" t="s">
        <v>18</v>
      </c>
      <c r="E715" s="10">
        <v>11723</v>
      </c>
      <c r="F715" t="s">
        <v>16</v>
      </c>
    </row>
    <row r="716" spans="1:6" hidden="1" x14ac:dyDescent="0.2">
      <c r="A716">
        <v>73176</v>
      </c>
      <c r="B716" t="s">
        <v>14</v>
      </c>
      <c r="C716">
        <v>13</v>
      </c>
      <c r="D716" t="s">
        <v>18</v>
      </c>
      <c r="E716">
        <v>3419</v>
      </c>
      <c r="F716" t="s">
        <v>24</v>
      </c>
    </row>
    <row r="717" spans="1:6" x14ac:dyDescent="0.2">
      <c r="A717">
        <v>51253</v>
      </c>
      <c r="B717" t="s">
        <v>26</v>
      </c>
      <c r="C717">
        <v>7</v>
      </c>
      <c r="D717" t="s">
        <v>15</v>
      </c>
      <c r="E717" s="10">
        <v>633</v>
      </c>
      <c r="F717" t="s">
        <v>16</v>
      </c>
    </row>
    <row r="718" spans="1:6" x14ac:dyDescent="0.2">
      <c r="A718">
        <v>51420</v>
      </c>
      <c r="B718" t="s">
        <v>14</v>
      </c>
      <c r="C718">
        <v>13</v>
      </c>
      <c r="D718" t="s">
        <v>18</v>
      </c>
      <c r="E718" s="10">
        <v>3417</v>
      </c>
      <c r="F718" t="s">
        <v>16</v>
      </c>
    </row>
    <row r="719" spans="1:6" x14ac:dyDescent="0.2">
      <c r="A719">
        <v>51712</v>
      </c>
      <c r="B719" t="s">
        <v>17</v>
      </c>
      <c r="C719">
        <v>23</v>
      </c>
      <c r="D719" t="s">
        <v>15</v>
      </c>
      <c r="E719" s="10">
        <v>43333</v>
      </c>
      <c r="F719" t="s">
        <v>16</v>
      </c>
    </row>
    <row r="720" spans="1:6" hidden="1" x14ac:dyDescent="0.2">
      <c r="A720">
        <v>73750</v>
      </c>
      <c r="B720" t="s">
        <v>26</v>
      </c>
      <c r="C720">
        <v>8</v>
      </c>
      <c r="D720" t="s">
        <v>18</v>
      </c>
      <c r="E720">
        <v>2261</v>
      </c>
      <c r="F720" t="s">
        <v>22</v>
      </c>
    </row>
    <row r="721" spans="1:6" x14ac:dyDescent="0.2">
      <c r="A721">
        <v>51754</v>
      </c>
      <c r="B721" t="s">
        <v>14</v>
      </c>
      <c r="C721">
        <v>16</v>
      </c>
      <c r="D721" t="s">
        <v>18</v>
      </c>
      <c r="E721" s="10">
        <v>2054</v>
      </c>
      <c r="F721" t="s">
        <v>16</v>
      </c>
    </row>
    <row r="722" spans="1:6" x14ac:dyDescent="0.2">
      <c r="A722">
        <v>52373</v>
      </c>
      <c r="B722" t="s">
        <v>17</v>
      </c>
      <c r="C722">
        <v>27</v>
      </c>
      <c r="D722" t="s">
        <v>15</v>
      </c>
      <c r="E722" s="10">
        <v>42969</v>
      </c>
      <c r="F722" t="s">
        <v>16</v>
      </c>
    </row>
    <row r="723" spans="1:6" x14ac:dyDescent="0.2">
      <c r="A723">
        <v>52722</v>
      </c>
      <c r="B723" t="s">
        <v>17</v>
      </c>
      <c r="C723">
        <v>24</v>
      </c>
      <c r="D723" t="s">
        <v>18</v>
      </c>
      <c r="E723" s="10">
        <v>48694</v>
      </c>
      <c r="F723" t="s">
        <v>16</v>
      </c>
    </row>
    <row r="724" spans="1:6" x14ac:dyDescent="0.2">
      <c r="A724">
        <v>52794</v>
      </c>
      <c r="B724" t="s">
        <v>17</v>
      </c>
      <c r="C724">
        <v>30</v>
      </c>
      <c r="D724" t="s">
        <v>15</v>
      </c>
      <c r="E724" s="10">
        <v>42703</v>
      </c>
      <c r="F724" t="s">
        <v>16</v>
      </c>
    </row>
    <row r="725" spans="1:6" x14ac:dyDescent="0.2">
      <c r="A725">
        <v>52868</v>
      </c>
      <c r="B725" t="s">
        <v>17</v>
      </c>
      <c r="C725">
        <v>30</v>
      </c>
      <c r="D725" t="s">
        <v>18</v>
      </c>
      <c r="E725" s="10">
        <v>35523</v>
      </c>
      <c r="F725" t="s">
        <v>16</v>
      </c>
    </row>
    <row r="726" spans="1:6" x14ac:dyDescent="0.2">
      <c r="A726">
        <v>52969</v>
      </c>
      <c r="B726" t="s">
        <v>25</v>
      </c>
      <c r="C726">
        <v>55</v>
      </c>
      <c r="D726" t="s">
        <v>18</v>
      </c>
      <c r="E726" s="10">
        <v>49554</v>
      </c>
      <c r="F726" t="s">
        <v>16</v>
      </c>
    </row>
    <row r="727" spans="1:6" x14ac:dyDescent="0.2">
      <c r="A727">
        <v>53083</v>
      </c>
      <c r="B727" t="s">
        <v>26</v>
      </c>
      <c r="C727">
        <v>10</v>
      </c>
      <c r="D727" t="s">
        <v>15</v>
      </c>
      <c r="E727" s="10">
        <v>2455</v>
      </c>
      <c r="F727" t="s">
        <v>16</v>
      </c>
    </row>
    <row r="728" spans="1:6" hidden="1" x14ac:dyDescent="0.2">
      <c r="A728">
        <v>74463</v>
      </c>
      <c r="B728" t="s">
        <v>17</v>
      </c>
      <c r="C728">
        <v>27</v>
      </c>
      <c r="D728" t="s">
        <v>15</v>
      </c>
      <c r="E728">
        <v>28581</v>
      </c>
      <c r="F728" t="s">
        <v>24</v>
      </c>
    </row>
    <row r="729" spans="1:6" x14ac:dyDescent="0.2">
      <c r="A729">
        <v>53339</v>
      </c>
      <c r="B729" t="s">
        <v>25</v>
      </c>
      <c r="C729">
        <v>71</v>
      </c>
      <c r="D729" t="s">
        <v>18</v>
      </c>
      <c r="E729" s="10">
        <v>46719</v>
      </c>
      <c r="F729" t="s">
        <v>16</v>
      </c>
    </row>
    <row r="730" spans="1:6" x14ac:dyDescent="0.2">
      <c r="A730">
        <v>53435</v>
      </c>
      <c r="B730" t="s">
        <v>17</v>
      </c>
      <c r="C730">
        <v>31</v>
      </c>
      <c r="D730" t="s">
        <v>15</v>
      </c>
      <c r="E730" s="10">
        <v>46437</v>
      </c>
      <c r="F730" t="s">
        <v>16</v>
      </c>
    </row>
    <row r="731" spans="1:6" x14ac:dyDescent="0.2">
      <c r="A731">
        <v>53658</v>
      </c>
      <c r="B731" t="s">
        <v>14</v>
      </c>
      <c r="C731">
        <v>14</v>
      </c>
      <c r="D731" t="s">
        <v>18</v>
      </c>
      <c r="E731" s="10">
        <v>5514</v>
      </c>
      <c r="F731" t="s">
        <v>16</v>
      </c>
    </row>
    <row r="732" spans="1:6" hidden="1" x14ac:dyDescent="0.2">
      <c r="A732">
        <v>74721</v>
      </c>
      <c r="B732" t="s">
        <v>25</v>
      </c>
      <c r="C732">
        <v>90</v>
      </c>
      <c r="D732" t="s">
        <v>15</v>
      </c>
      <c r="E732">
        <v>58392</v>
      </c>
      <c r="F732" t="s">
        <v>27</v>
      </c>
    </row>
    <row r="733" spans="1:6" x14ac:dyDescent="0.2">
      <c r="A733">
        <v>53719</v>
      </c>
      <c r="B733" t="s">
        <v>17</v>
      </c>
      <c r="C733">
        <v>33</v>
      </c>
      <c r="D733" t="s">
        <v>15</v>
      </c>
      <c r="E733" s="10">
        <v>42265</v>
      </c>
      <c r="F733" t="s">
        <v>16</v>
      </c>
    </row>
    <row r="734" spans="1:6" hidden="1" x14ac:dyDescent="0.2">
      <c r="A734">
        <v>74891</v>
      </c>
      <c r="B734" t="s">
        <v>19</v>
      </c>
      <c r="C734">
        <v>5</v>
      </c>
      <c r="D734" t="s">
        <v>15</v>
      </c>
      <c r="E734">
        <v>1611</v>
      </c>
      <c r="F734" t="s">
        <v>22</v>
      </c>
    </row>
    <row r="735" spans="1:6" x14ac:dyDescent="0.2">
      <c r="A735">
        <v>54054</v>
      </c>
      <c r="B735" t="s">
        <v>21</v>
      </c>
      <c r="C735">
        <v>20</v>
      </c>
      <c r="D735" t="s">
        <v>18</v>
      </c>
      <c r="E735" s="10">
        <v>13248</v>
      </c>
      <c r="F735" t="s">
        <v>16</v>
      </c>
    </row>
    <row r="736" spans="1:6" x14ac:dyDescent="0.2">
      <c r="A736">
        <v>54067</v>
      </c>
      <c r="B736" t="s">
        <v>26</v>
      </c>
      <c r="C736">
        <v>12</v>
      </c>
      <c r="D736" t="s">
        <v>15</v>
      </c>
      <c r="E736" s="10">
        <v>1262</v>
      </c>
      <c r="F736" t="s">
        <v>16</v>
      </c>
    </row>
    <row r="737" spans="1:6" x14ac:dyDescent="0.2">
      <c r="A737">
        <v>54223</v>
      </c>
      <c r="B737" t="s">
        <v>14</v>
      </c>
      <c r="C737">
        <v>17</v>
      </c>
      <c r="D737" t="s">
        <v>15</v>
      </c>
      <c r="E737" s="10">
        <v>2948</v>
      </c>
      <c r="F737" t="s">
        <v>16</v>
      </c>
    </row>
    <row r="738" spans="1:6" x14ac:dyDescent="0.2">
      <c r="A738">
        <v>54675</v>
      </c>
      <c r="B738" t="s">
        <v>14</v>
      </c>
      <c r="C738">
        <v>13</v>
      </c>
      <c r="D738" t="s">
        <v>15</v>
      </c>
      <c r="E738" s="10">
        <v>4005</v>
      </c>
      <c r="F738" t="s">
        <v>16</v>
      </c>
    </row>
    <row r="739" spans="1:6" x14ac:dyDescent="0.2">
      <c r="A739">
        <v>55424</v>
      </c>
      <c r="B739" t="s">
        <v>17</v>
      </c>
      <c r="C739">
        <v>24</v>
      </c>
      <c r="D739" t="s">
        <v>18</v>
      </c>
      <c r="E739" s="10">
        <v>37133</v>
      </c>
      <c r="F739" t="s">
        <v>16</v>
      </c>
    </row>
    <row r="740" spans="1:6" x14ac:dyDescent="0.2">
      <c r="A740">
        <v>55882</v>
      </c>
      <c r="B740" t="s">
        <v>14</v>
      </c>
      <c r="C740">
        <v>15</v>
      </c>
      <c r="D740" t="s">
        <v>15</v>
      </c>
      <c r="E740" s="10">
        <v>3055</v>
      </c>
      <c r="F740" t="s">
        <v>16</v>
      </c>
    </row>
    <row r="741" spans="1:6" x14ac:dyDescent="0.2">
      <c r="A741">
        <v>55958</v>
      </c>
      <c r="B741" t="s">
        <v>17</v>
      </c>
      <c r="C741">
        <v>32</v>
      </c>
      <c r="D741" t="s">
        <v>18</v>
      </c>
      <c r="E741" s="10">
        <v>40587</v>
      </c>
      <c r="F741" t="s">
        <v>16</v>
      </c>
    </row>
    <row r="742" spans="1:6" x14ac:dyDescent="0.2">
      <c r="A742">
        <v>56063</v>
      </c>
      <c r="B742" t="s">
        <v>21</v>
      </c>
      <c r="C742">
        <v>21</v>
      </c>
      <c r="D742" t="s">
        <v>18</v>
      </c>
      <c r="E742" s="10">
        <v>7488</v>
      </c>
      <c r="F742" t="s">
        <v>16</v>
      </c>
    </row>
    <row r="743" spans="1:6" x14ac:dyDescent="0.2">
      <c r="A743">
        <v>56109</v>
      </c>
      <c r="B743" t="s">
        <v>21</v>
      </c>
      <c r="C743">
        <v>20</v>
      </c>
      <c r="D743" t="s">
        <v>15</v>
      </c>
      <c r="E743" s="10">
        <v>9540</v>
      </c>
      <c r="F743" t="s">
        <v>16</v>
      </c>
    </row>
    <row r="744" spans="1:6" x14ac:dyDescent="0.2">
      <c r="A744">
        <v>56533</v>
      </c>
      <c r="B744" t="s">
        <v>17</v>
      </c>
      <c r="C744">
        <v>26</v>
      </c>
      <c r="D744" t="s">
        <v>18</v>
      </c>
      <c r="E744" s="10">
        <v>37347</v>
      </c>
      <c r="F744" t="s">
        <v>16</v>
      </c>
    </row>
    <row r="745" spans="1:6" x14ac:dyDescent="0.2">
      <c r="A745">
        <v>56539</v>
      </c>
      <c r="B745" t="s">
        <v>21</v>
      </c>
      <c r="C745">
        <v>20</v>
      </c>
      <c r="D745" t="s">
        <v>15</v>
      </c>
      <c r="E745" s="10">
        <v>15278</v>
      </c>
      <c r="F745" t="s">
        <v>16</v>
      </c>
    </row>
    <row r="746" spans="1:6" x14ac:dyDescent="0.2">
      <c r="A746">
        <v>56552</v>
      </c>
      <c r="B746" t="s">
        <v>21</v>
      </c>
      <c r="C746">
        <v>20</v>
      </c>
      <c r="D746" t="s">
        <v>15</v>
      </c>
      <c r="E746" s="10">
        <v>11070</v>
      </c>
      <c r="F746" t="s">
        <v>16</v>
      </c>
    </row>
    <row r="747" spans="1:6" x14ac:dyDescent="0.2">
      <c r="A747">
        <v>56576</v>
      </c>
      <c r="B747" t="s">
        <v>21</v>
      </c>
      <c r="C747">
        <v>21</v>
      </c>
      <c r="D747" t="s">
        <v>15</v>
      </c>
      <c r="E747" s="10">
        <v>9805</v>
      </c>
      <c r="F747" t="s">
        <v>16</v>
      </c>
    </row>
    <row r="748" spans="1:6" x14ac:dyDescent="0.2">
      <c r="A748">
        <v>56738</v>
      </c>
      <c r="B748" t="s">
        <v>25</v>
      </c>
      <c r="C748">
        <v>72</v>
      </c>
      <c r="D748" t="s">
        <v>18</v>
      </c>
      <c r="E748" s="10">
        <v>53834</v>
      </c>
      <c r="F748" t="s">
        <v>16</v>
      </c>
    </row>
    <row r="749" spans="1:6" x14ac:dyDescent="0.2">
      <c r="A749">
        <v>56808</v>
      </c>
      <c r="B749" t="s">
        <v>21</v>
      </c>
      <c r="C749">
        <v>21</v>
      </c>
      <c r="D749" t="s">
        <v>15</v>
      </c>
      <c r="E749" s="10">
        <v>11202</v>
      </c>
      <c r="F749" t="s">
        <v>16</v>
      </c>
    </row>
    <row r="750" spans="1:6" x14ac:dyDescent="0.2">
      <c r="A750">
        <v>56855</v>
      </c>
      <c r="B750" t="s">
        <v>25</v>
      </c>
      <c r="C750">
        <v>64</v>
      </c>
      <c r="D750" t="s">
        <v>15</v>
      </c>
      <c r="E750" s="10">
        <v>60774</v>
      </c>
      <c r="F750" t="s">
        <v>16</v>
      </c>
    </row>
    <row r="751" spans="1:6" x14ac:dyDescent="0.2">
      <c r="A751">
        <v>57141</v>
      </c>
      <c r="B751" t="s">
        <v>17</v>
      </c>
      <c r="C751">
        <v>23</v>
      </c>
      <c r="D751" t="s">
        <v>18</v>
      </c>
      <c r="E751" s="10">
        <v>36180</v>
      </c>
      <c r="F751" t="s">
        <v>16</v>
      </c>
    </row>
    <row r="752" spans="1:6" x14ac:dyDescent="0.2">
      <c r="A752">
        <v>57504</v>
      </c>
      <c r="B752" t="s">
        <v>21</v>
      </c>
      <c r="C752">
        <v>19</v>
      </c>
      <c r="D752" t="s">
        <v>15</v>
      </c>
      <c r="E752" s="10">
        <v>12882</v>
      </c>
      <c r="F752" t="s">
        <v>16</v>
      </c>
    </row>
    <row r="753" spans="1:6" x14ac:dyDescent="0.2">
      <c r="A753">
        <v>58293</v>
      </c>
      <c r="B753" t="s">
        <v>14</v>
      </c>
      <c r="C753">
        <v>14</v>
      </c>
      <c r="D753" t="s">
        <v>15</v>
      </c>
      <c r="E753" s="10">
        <v>4768</v>
      </c>
      <c r="F753" t="s">
        <v>16</v>
      </c>
    </row>
    <row r="754" spans="1:6" hidden="1" x14ac:dyDescent="0.2">
      <c r="A754">
        <v>76461</v>
      </c>
      <c r="B754" t="s">
        <v>14</v>
      </c>
      <c r="C754">
        <v>13</v>
      </c>
      <c r="D754" t="s">
        <v>18</v>
      </c>
      <c r="E754">
        <v>4710</v>
      </c>
      <c r="F754" t="s">
        <v>24</v>
      </c>
    </row>
    <row r="755" spans="1:6" x14ac:dyDescent="0.2">
      <c r="A755">
        <v>58317</v>
      </c>
      <c r="B755" t="s">
        <v>25</v>
      </c>
      <c r="C755">
        <v>80</v>
      </c>
      <c r="D755" t="s">
        <v>18</v>
      </c>
      <c r="E755" s="10">
        <v>57821</v>
      </c>
      <c r="F755" t="s">
        <v>16</v>
      </c>
    </row>
    <row r="756" spans="1:6" x14ac:dyDescent="0.2">
      <c r="A756">
        <v>58862</v>
      </c>
      <c r="B756" t="s">
        <v>14</v>
      </c>
      <c r="C756">
        <v>17</v>
      </c>
      <c r="D756" t="s">
        <v>18</v>
      </c>
      <c r="E756" s="10">
        <v>3904</v>
      </c>
      <c r="F756" t="s">
        <v>16</v>
      </c>
    </row>
    <row r="757" spans="1:6" x14ac:dyDescent="0.2">
      <c r="A757">
        <v>58870</v>
      </c>
      <c r="B757" t="s">
        <v>26</v>
      </c>
      <c r="C757">
        <v>8</v>
      </c>
      <c r="D757" t="s">
        <v>18</v>
      </c>
      <c r="E757" s="10">
        <v>2590</v>
      </c>
      <c r="F757" t="s">
        <v>16</v>
      </c>
    </row>
    <row r="758" spans="1:6" x14ac:dyDescent="0.2">
      <c r="A758">
        <v>59001</v>
      </c>
      <c r="B758" t="s">
        <v>17</v>
      </c>
      <c r="C758">
        <v>27</v>
      </c>
      <c r="D758" t="s">
        <v>15</v>
      </c>
      <c r="E758" s="10">
        <v>40156</v>
      </c>
      <c r="F758" t="s">
        <v>16</v>
      </c>
    </row>
    <row r="759" spans="1:6" x14ac:dyDescent="0.2">
      <c r="A759">
        <v>59206</v>
      </c>
      <c r="B759" t="s">
        <v>25</v>
      </c>
      <c r="C759">
        <v>83</v>
      </c>
      <c r="D759" t="s">
        <v>18</v>
      </c>
      <c r="E759" s="10">
        <v>58803</v>
      </c>
      <c r="F759" t="s">
        <v>16</v>
      </c>
    </row>
    <row r="760" spans="1:6" x14ac:dyDescent="0.2">
      <c r="A760">
        <v>59275</v>
      </c>
      <c r="B760" t="s">
        <v>21</v>
      </c>
      <c r="C760">
        <v>21</v>
      </c>
      <c r="D760" t="s">
        <v>18</v>
      </c>
      <c r="E760" s="10">
        <v>16133</v>
      </c>
      <c r="F760" t="s">
        <v>16</v>
      </c>
    </row>
    <row r="761" spans="1:6" x14ac:dyDescent="0.2">
      <c r="A761">
        <v>59343</v>
      </c>
      <c r="B761" t="s">
        <v>17</v>
      </c>
      <c r="C761">
        <v>26</v>
      </c>
      <c r="D761" t="s">
        <v>15</v>
      </c>
      <c r="E761" s="10">
        <v>45507</v>
      </c>
      <c r="F761" t="s">
        <v>16</v>
      </c>
    </row>
    <row r="762" spans="1:6" x14ac:dyDescent="0.2">
      <c r="A762">
        <v>59467</v>
      </c>
      <c r="B762" t="s">
        <v>26</v>
      </c>
      <c r="C762">
        <v>8</v>
      </c>
      <c r="D762" t="s">
        <v>15</v>
      </c>
      <c r="E762" s="10">
        <v>3544</v>
      </c>
      <c r="F762" t="s">
        <v>16</v>
      </c>
    </row>
    <row r="763" spans="1:6" x14ac:dyDescent="0.2">
      <c r="A763">
        <v>59881</v>
      </c>
      <c r="B763" t="s">
        <v>21</v>
      </c>
      <c r="C763">
        <v>19</v>
      </c>
      <c r="D763" t="s">
        <v>18</v>
      </c>
      <c r="E763" s="10">
        <v>11816</v>
      </c>
      <c r="F763" t="s">
        <v>16</v>
      </c>
    </row>
    <row r="764" spans="1:6" x14ac:dyDescent="0.2">
      <c r="A764">
        <v>60002</v>
      </c>
      <c r="B764" t="s">
        <v>14</v>
      </c>
      <c r="C764">
        <v>17</v>
      </c>
      <c r="D764" t="s">
        <v>18</v>
      </c>
      <c r="E764" s="10">
        <v>4531</v>
      </c>
      <c r="F764" t="s">
        <v>16</v>
      </c>
    </row>
    <row r="765" spans="1:6" x14ac:dyDescent="0.2">
      <c r="A765">
        <v>60018</v>
      </c>
      <c r="B765" t="s">
        <v>17</v>
      </c>
      <c r="C765">
        <v>35</v>
      </c>
      <c r="D765" t="s">
        <v>15</v>
      </c>
      <c r="E765" s="10">
        <v>36607</v>
      </c>
      <c r="F765" t="s">
        <v>16</v>
      </c>
    </row>
    <row r="766" spans="1:6" x14ac:dyDescent="0.2">
      <c r="A766">
        <v>60348</v>
      </c>
      <c r="B766" t="s">
        <v>19</v>
      </c>
      <c r="C766">
        <v>5</v>
      </c>
      <c r="D766" t="s">
        <v>15</v>
      </c>
      <c r="E766" s="10">
        <v>2019</v>
      </c>
      <c r="F766" t="s">
        <v>16</v>
      </c>
    </row>
    <row r="767" spans="1:6" x14ac:dyDescent="0.2">
      <c r="A767">
        <v>60425</v>
      </c>
      <c r="B767" t="s">
        <v>14</v>
      </c>
      <c r="C767">
        <v>16</v>
      </c>
      <c r="D767" t="s">
        <v>18</v>
      </c>
      <c r="E767" s="10">
        <v>5224</v>
      </c>
      <c r="F767" t="s">
        <v>16</v>
      </c>
    </row>
    <row r="768" spans="1:6" hidden="1" x14ac:dyDescent="0.2">
      <c r="A768">
        <v>77450</v>
      </c>
      <c r="B768" t="s">
        <v>21</v>
      </c>
      <c r="C768">
        <v>18</v>
      </c>
      <c r="D768" t="s">
        <v>18</v>
      </c>
      <c r="E768">
        <v>3707</v>
      </c>
      <c r="F768" t="s">
        <v>24</v>
      </c>
    </row>
    <row r="769" spans="1:6" hidden="1" x14ac:dyDescent="0.2">
      <c r="A769">
        <v>77463</v>
      </c>
      <c r="B769" t="s">
        <v>25</v>
      </c>
      <c r="C769">
        <v>71</v>
      </c>
      <c r="D769" t="s">
        <v>15</v>
      </c>
      <c r="E769">
        <v>52421</v>
      </c>
      <c r="F769" t="s">
        <v>24</v>
      </c>
    </row>
    <row r="770" spans="1:6" hidden="1" x14ac:dyDescent="0.2">
      <c r="A770">
        <v>77587</v>
      </c>
      <c r="B770" t="s">
        <v>21</v>
      </c>
      <c r="C770">
        <v>18</v>
      </c>
      <c r="D770" t="s">
        <v>15</v>
      </c>
      <c r="E770">
        <v>18435</v>
      </c>
      <c r="F770" t="s">
        <v>24</v>
      </c>
    </row>
    <row r="771" spans="1:6" x14ac:dyDescent="0.2">
      <c r="A771">
        <v>60572</v>
      </c>
      <c r="B771" t="s">
        <v>25</v>
      </c>
      <c r="C771">
        <v>69</v>
      </c>
      <c r="D771" t="s">
        <v>18</v>
      </c>
      <c r="E771" s="10">
        <v>59682</v>
      </c>
      <c r="F771" t="s">
        <v>16</v>
      </c>
    </row>
    <row r="772" spans="1:6" x14ac:dyDescent="0.2">
      <c r="A772">
        <v>61051</v>
      </c>
      <c r="B772" t="s">
        <v>17</v>
      </c>
      <c r="C772">
        <v>37</v>
      </c>
      <c r="D772" t="s">
        <v>18</v>
      </c>
      <c r="E772" s="10">
        <v>30627</v>
      </c>
      <c r="F772" t="s">
        <v>16</v>
      </c>
    </row>
    <row r="773" spans="1:6" x14ac:dyDescent="0.2">
      <c r="A773">
        <v>61329</v>
      </c>
      <c r="B773" t="s">
        <v>21</v>
      </c>
      <c r="C773">
        <v>18</v>
      </c>
      <c r="D773" t="s">
        <v>15</v>
      </c>
      <c r="E773" s="10">
        <v>10068</v>
      </c>
      <c r="F773" t="s">
        <v>16</v>
      </c>
    </row>
    <row r="774" spans="1:6" hidden="1" x14ac:dyDescent="0.2">
      <c r="A774">
        <v>77715</v>
      </c>
      <c r="B774" t="s">
        <v>21</v>
      </c>
      <c r="C774">
        <v>20</v>
      </c>
      <c r="D774" t="s">
        <v>18</v>
      </c>
      <c r="E774">
        <v>12234</v>
      </c>
      <c r="F774" t="s">
        <v>24</v>
      </c>
    </row>
    <row r="775" spans="1:6" x14ac:dyDescent="0.2">
      <c r="A775">
        <v>61588</v>
      </c>
      <c r="B775" t="s">
        <v>17</v>
      </c>
      <c r="C775">
        <v>24</v>
      </c>
      <c r="D775" t="s">
        <v>15</v>
      </c>
      <c r="E775" s="10">
        <v>47674</v>
      </c>
      <c r="F775" t="s">
        <v>16</v>
      </c>
    </row>
    <row r="776" spans="1:6" x14ac:dyDescent="0.2">
      <c r="A776">
        <v>61680</v>
      </c>
      <c r="B776" t="s">
        <v>14</v>
      </c>
      <c r="C776">
        <v>16</v>
      </c>
      <c r="D776" t="s">
        <v>18</v>
      </c>
      <c r="E776" s="10">
        <v>3839</v>
      </c>
      <c r="F776" t="s">
        <v>16</v>
      </c>
    </row>
    <row r="777" spans="1:6" x14ac:dyDescent="0.2">
      <c r="A777">
        <v>61785</v>
      </c>
      <c r="B777" t="s">
        <v>14</v>
      </c>
      <c r="C777">
        <v>13</v>
      </c>
      <c r="D777" t="s">
        <v>15</v>
      </c>
      <c r="E777" s="10">
        <v>1195</v>
      </c>
      <c r="F777" t="s">
        <v>16</v>
      </c>
    </row>
    <row r="778" spans="1:6" x14ac:dyDescent="0.2">
      <c r="A778">
        <v>61944</v>
      </c>
      <c r="B778" t="s">
        <v>25</v>
      </c>
      <c r="C778">
        <v>52</v>
      </c>
      <c r="D778" t="s">
        <v>15</v>
      </c>
      <c r="E778" s="10">
        <v>48826</v>
      </c>
      <c r="F778" t="s">
        <v>16</v>
      </c>
    </row>
    <row r="779" spans="1:6" x14ac:dyDescent="0.2">
      <c r="A779">
        <v>61951</v>
      </c>
      <c r="B779" t="s">
        <v>21</v>
      </c>
      <c r="C779">
        <v>21</v>
      </c>
      <c r="D779" t="s">
        <v>18</v>
      </c>
      <c r="E779" s="10">
        <v>15718</v>
      </c>
      <c r="F779" t="s">
        <v>16</v>
      </c>
    </row>
    <row r="780" spans="1:6" hidden="1" x14ac:dyDescent="0.2">
      <c r="A780">
        <v>78254</v>
      </c>
      <c r="B780" t="s">
        <v>17</v>
      </c>
      <c r="C780">
        <v>23</v>
      </c>
      <c r="D780" t="s">
        <v>18</v>
      </c>
      <c r="E780">
        <v>37479</v>
      </c>
      <c r="F780" t="s">
        <v>29</v>
      </c>
    </row>
    <row r="781" spans="1:6" x14ac:dyDescent="0.2">
      <c r="A781">
        <v>62150</v>
      </c>
      <c r="B781" t="s">
        <v>17</v>
      </c>
      <c r="C781">
        <v>29</v>
      </c>
      <c r="D781" t="s">
        <v>18</v>
      </c>
      <c r="E781" s="10">
        <v>34708</v>
      </c>
      <c r="F781" t="s">
        <v>16</v>
      </c>
    </row>
    <row r="782" spans="1:6" x14ac:dyDescent="0.2">
      <c r="A782">
        <v>62282</v>
      </c>
      <c r="B782" t="s">
        <v>21</v>
      </c>
      <c r="C782">
        <v>21</v>
      </c>
      <c r="D782" t="s">
        <v>15</v>
      </c>
      <c r="E782" s="10">
        <v>6669</v>
      </c>
      <c r="F782" t="s">
        <v>16</v>
      </c>
    </row>
    <row r="783" spans="1:6" hidden="1" x14ac:dyDescent="0.2">
      <c r="A783">
        <v>78383</v>
      </c>
      <c r="B783" t="s">
        <v>26</v>
      </c>
      <c r="C783">
        <v>7</v>
      </c>
      <c r="D783" t="s">
        <v>15</v>
      </c>
      <c r="E783">
        <v>3125</v>
      </c>
      <c r="F783" t="s">
        <v>22</v>
      </c>
    </row>
    <row r="784" spans="1:6" hidden="1" x14ac:dyDescent="0.2">
      <c r="A784">
        <v>78532</v>
      </c>
      <c r="B784" t="s">
        <v>21</v>
      </c>
      <c r="C784">
        <v>21</v>
      </c>
      <c r="D784" t="s">
        <v>15</v>
      </c>
      <c r="E784">
        <v>7683</v>
      </c>
      <c r="F784" t="s">
        <v>24</v>
      </c>
    </row>
    <row r="785" spans="1:6" x14ac:dyDescent="0.2">
      <c r="A785">
        <v>62302</v>
      </c>
      <c r="B785" t="s">
        <v>17</v>
      </c>
      <c r="C785">
        <v>23</v>
      </c>
      <c r="D785" t="s">
        <v>18</v>
      </c>
      <c r="E785" s="10">
        <v>39693</v>
      </c>
      <c r="F785" t="s">
        <v>16</v>
      </c>
    </row>
    <row r="786" spans="1:6" x14ac:dyDescent="0.2">
      <c r="A786">
        <v>62342</v>
      </c>
      <c r="B786" t="s">
        <v>26</v>
      </c>
      <c r="C786">
        <v>9</v>
      </c>
      <c r="D786" t="s">
        <v>18</v>
      </c>
      <c r="E786" s="10">
        <v>3552</v>
      </c>
      <c r="F786" t="s">
        <v>16</v>
      </c>
    </row>
    <row r="787" spans="1:6" hidden="1" x14ac:dyDescent="0.2">
      <c r="A787">
        <v>79152</v>
      </c>
      <c r="B787" t="s">
        <v>21</v>
      </c>
      <c r="C787">
        <v>21</v>
      </c>
      <c r="D787" t="s">
        <v>18</v>
      </c>
      <c r="E787">
        <v>11491</v>
      </c>
      <c r="F787" t="s">
        <v>22</v>
      </c>
    </row>
    <row r="788" spans="1:6" x14ac:dyDescent="0.2">
      <c r="A788">
        <v>62913</v>
      </c>
      <c r="B788" t="s">
        <v>26</v>
      </c>
      <c r="C788">
        <v>8</v>
      </c>
      <c r="D788" t="s">
        <v>15</v>
      </c>
      <c r="E788" s="10">
        <v>2122</v>
      </c>
      <c r="F788" t="s">
        <v>16</v>
      </c>
    </row>
    <row r="789" spans="1:6" x14ac:dyDescent="0.2">
      <c r="A789">
        <v>62935</v>
      </c>
      <c r="B789" t="s">
        <v>17</v>
      </c>
      <c r="C789">
        <v>33</v>
      </c>
      <c r="D789" t="s">
        <v>15</v>
      </c>
      <c r="E789" s="10">
        <v>42458</v>
      </c>
      <c r="F789" t="s">
        <v>16</v>
      </c>
    </row>
    <row r="790" spans="1:6" hidden="1" x14ac:dyDescent="0.2">
      <c r="A790">
        <v>79645</v>
      </c>
      <c r="B790" t="s">
        <v>17</v>
      </c>
      <c r="C790">
        <v>32</v>
      </c>
      <c r="D790" t="s">
        <v>18</v>
      </c>
      <c r="E790">
        <v>28205</v>
      </c>
      <c r="F790" t="s">
        <v>27</v>
      </c>
    </row>
    <row r="791" spans="1:6" x14ac:dyDescent="0.2">
      <c r="A791">
        <v>62957</v>
      </c>
      <c r="B791" t="s">
        <v>17</v>
      </c>
      <c r="C791">
        <v>22</v>
      </c>
      <c r="D791" t="s">
        <v>18</v>
      </c>
      <c r="E791" s="10">
        <v>40648</v>
      </c>
      <c r="F791" t="s">
        <v>16</v>
      </c>
    </row>
    <row r="792" spans="1:6" x14ac:dyDescent="0.2">
      <c r="A792">
        <v>63363</v>
      </c>
      <c r="B792" t="s">
        <v>17</v>
      </c>
      <c r="C792">
        <v>22</v>
      </c>
      <c r="D792" t="s">
        <v>18</v>
      </c>
      <c r="E792" s="10">
        <v>31138</v>
      </c>
      <c r="F792" t="s">
        <v>16</v>
      </c>
    </row>
    <row r="793" spans="1:6" hidden="1" x14ac:dyDescent="0.2">
      <c r="A793">
        <v>79930</v>
      </c>
      <c r="B793" t="s">
        <v>17</v>
      </c>
      <c r="C793">
        <v>23</v>
      </c>
      <c r="D793" t="s">
        <v>18</v>
      </c>
      <c r="E793">
        <v>50542</v>
      </c>
      <c r="F793" t="s">
        <v>24</v>
      </c>
    </row>
    <row r="794" spans="1:6" x14ac:dyDescent="0.2">
      <c r="A794">
        <v>63810</v>
      </c>
      <c r="B794" t="s">
        <v>25</v>
      </c>
      <c r="C794">
        <v>68</v>
      </c>
      <c r="D794" t="s">
        <v>18</v>
      </c>
      <c r="E794" s="10">
        <v>43945</v>
      </c>
      <c r="F794" t="s">
        <v>16</v>
      </c>
    </row>
    <row r="795" spans="1:6" x14ac:dyDescent="0.2">
      <c r="A795">
        <v>63833</v>
      </c>
      <c r="B795" t="s">
        <v>17</v>
      </c>
      <c r="C795">
        <v>27</v>
      </c>
      <c r="D795" t="s">
        <v>18</v>
      </c>
      <c r="E795" s="10">
        <v>49793</v>
      </c>
      <c r="F795" t="s">
        <v>16</v>
      </c>
    </row>
    <row r="796" spans="1:6" x14ac:dyDescent="0.2">
      <c r="A796">
        <v>63992</v>
      </c>
      <c r="B796" t="s">
        <v>25</v>
      </c>
      <c r="C796">
        <v>59</v>
      </c>
      <c r="D796" t="s">
        <v>18</v>
      </c>
      <c r="E796" s="10">
        <v>33110</v>
      </c>
      <c r="F796" t="s">
        <v>16</v>
      </c>
    </row>
    <row r="797" spans="1:6" x14ac:dyDescent="0.2">
      <c r="A797">
        <v>64041</v>
      </c>
      <c r="B797" t="s">
        <v>26</v>
      </c>
      <c r="C797">
        <v>6</v>
      </c>
      <c r="D797" t="s">
        <v>15</v>
      </c>
      <c r="E797" s="10">
        <v>1722</v>
      </c>
      <c r="F797" t="s">
        <v>16</v>
      </c>
    </row>
    <row r="798" spans="1:6" x14ac:dyDescent="0.2">
      <c r="A798">
        <v>64083</v>
      </c>
      <c r="B798" t="s">
        <v>25</v>
      </c>
      <c r="C798">
        <v>75</v>
      </c>
      <c r="D798" t="s">
        <v>18</v>
      </c>
      <c r="E798" s="10">
        <v>50261</v>
      </c>
      <c r="F798" t="s">
        <v>16</v>
      </c>
    </row>
    <row r="799" spans="1:6" hidden="1" x14ac:dyDescent="0.2">
      <c r="A799">
        <v>80464</v>
      </c>
      <c r="B799" t="s">
        <v>21</v>
      </c>
      <c r="C799">
        <v>20</v>
      </c>
      <c r="D799" t="s">
        <v>15</v>
      </c>
      <c r="E799">
        <v>13264</v>
      </c>
      <c r="F799" t="s">
        <v>24</v>
      </c>
    </row>
    <row r="800" spans="1:6" x14ac:dyDescent="0.2">
      <c r="A800">
        <v>64192</v>
      </c>
      <c r="B800" t="s">
        <v>25</v>
      </c>
      <c r="C800">
        <v>66</v>
      </c>
      <c r="D800" t="s">
        <v>15</v>
      </c>
      <c r="E800" s="10">
        <v>50910</v>
      </c>
      <c r="F800" t="s">
        <v>16</v>
      </c>
    </row>
    <row r="801" spans="1:6" hidden="1" x14ac:dyDescent="0.2">
      <c r="A801">
        <v>80534</v>
      </c>
      <c r="B801" t="s">
        <v>25</v>
      </c>
      <c r="C801">
        <v>71</v>
      </c>
      <c r="D801" t="s">
        <v>18</v>
      </c>
      <c r="E801">
        <v>58594</v>
      </c>
      <c r="F801" t="s">
        <v>22</v>
      </c>
    </row>
    <row r="802" spans="1:6" x14ac:dyDescent="0.2">
      <c r="A802">
        <v>64429</v>
      </c>
      <c r="B802" t="s">
        <v>14</v>
      </c>
      <c r="C802">
        <v>17</v>
      </c>
      <c r="D802" t="s">
        <v>15</v>
      </c>
      <c r="E802" s="10">
        <v>2722</v>
      </c>
      <c r="F802" t="s">
        <v>16</v>
      </c>
    </row>
    <row r="803" spans="1:6" hidden="1" x14ac:dyDescent="0.2">
      <c r="A803">
        <v>80688</v>
      </c>
      <c r="B803" t="s">
        <v>17</v>
      </c>
      <c r="C803">
        <v>22</v>
      </c>
      <c r="D803" t="s">
        <v>15</v>
      </c>
      <c r="E803">
        <v>40240</v>
      </c>
      <c r="F803" t="s">
        <v>24</v>
      </c>
    </row>
    <row r="804" spans="1:6" x14ac:dyDescent="0.2">
      <c r="A804">
        <v>64820</v>
      </c>
      <c r="B804" t="s">
        <v>25</v>
      </c>
      <c r="C804">
        <v>63</v>
      </c>
      <c r="D804" t="s">
        <v>18</v>
      </c>
      <c r="E804" s="10">
        <v>48614</v>
      </c>
      <c r="F804" t="s">
        <v>16</v>
      </c>
    </row>
    <row r="805" spans="1:6" hidden="1" x14ac:dyDescent="0.2">
      <c r="A805">
        <v>81195</v>
      </c>
      <c r="B805" t="s">
        <v>21</v>
      </c>
      <c r="C805">
        <v>21</v>
      </c>
      <c r="D805" t="s">
        <v>18</v>
      </c>
      <c r="E805">
        <v>9923</v>
      </c>
      <c r="F805" t="s">
        <v>24</v>
      </c>
    </row>
    <row r="806" spans="1:6" x14ac:dyDescent="0.2">
      <c r="A806">
        <v>64829</v>
      </c>
      <c r="B806" t="s">
        <v>21</v>
      </c>
      <c r="C806">
        <v>18</v>
      </c>
      <c r="D806" t="s">
        <v>18</v>
      </c>
      <c r="E806" s="10">
        <v>6991</v>
      </c>
      <c r="F806" t="s">
        <v>16</v>
      </c>
    </row>
    <row r="807" spans="1:6" x14ac:dyDescent="0.2">
      <c r="A807">
        <v>65419</v>
      </c>
      <c r="B807" t="s">
        <v>14</v>
      </c>
      <c r="C807">
        <v>16</v>
      </c>
      <c r="D807" t="s">
        <v>18</v>
      </c>
      <c r="E807" s="10">
        <v>4017</v>
      </c>
      <c r="F807" t="s">
        <v>16</v>
      </c>
    </row>
    <row r="808" spans="1:6" x14ac:dyDescent="0.2">
      <c r="A808">
        <v>65431</v>
      </c>
      <c r="B808" t="s">
        <v>25</v>
      </c>
      <c r="C808">
        <v>53</v>
      </c>
      <c r="D808" t="s">
        <v>18</v>
      </c>
      <c r="E808" s="10">
        <v>53457</v>
      </c>
      <c r="F808" t="s">
        <v>16</v>
      </c>
    </row>
    <row r="809" spans="1:6" x14ac:dyDescent="0.2">
      <c r="A809">
        <v>65619</v>
      </c>
      <c r="B809" t="s">
        <v>21</v>
      </c>
      <c r="C809">
        <v>20</v>
      </c>
      <c r="D809" t="s">
        <v>18</v>
      </c>
      <c r="E809" s="10">
        <v>6829</v>
      </c>
      <c r="F809" t="s">
        <v>16</v>
      </c>
    </row>
    <row r="810" spans="1:6" hidden="1" x14ac:dyDescent="0.2">
      <c r="A810">
        <v>81530</v>
      </c>
      <c r="B810" t="s">
        <v>17</v>
      </c>
      <c r="C810">
        <v>22</v>
      </c>
      <c r="D810" t="s">
        <v>18</v>
      </c>
      <c r="E810">
        <v>28061</v>
      </c>
      <c r="F810" t="s">
        <v>22</v>
      </c>
    </row>
    <row r="811" spans="1:6" x14ac:dyDescent="0.2">
      <c r="A811">
        <v>66734</v>
      </c>
      <c r="B811" t="s">
        <v>17</v>
      </c>
      <c r="C811">
        <v>23</v>
      </c>
      <c r="D811" t="s">
        <v>15</v>
      </c>
      <c r="E811" s="10">
        <v>40394</v>
      </c>
      <c r="F811" t="s">
        <v>16</v>
      </c>
    </row>
    <row r="812" spans="1:6" x14ac:dyDescent="0.2">
      <c r="A812">
        <v>66769</v>
      </c>
      <c r="B812" t="s">
        <v>14</v>
      </c>
      <c r="C812">
        <v>17</v>
      </c>
      <c r="D812" t="s">
        <v>18</v>
      </c>
      <c r="E812" s="10">
        <v>3520</v>
      </c>
      <c r="F812" t="s">
        <v>16</v>
      </c>
    </row>
    <row r="813" spans="1:6" x14ac:dyDescent="0.2">
      <c r="A813">
        <v>66840</v>
      </c>
      <c r="B813" t="s">
        <v>17</v>
      </c>
      <c r="C813">
        <v>26</v>
      </c>
      <c r="D813" t="s">
        <v>15</v>
      </c>
      <c r="E813" s="10">
        <v>44588</v>
      </c>
      <c r="F813" t="s">
        <v>16</v>
      </c>
    </row>
    <row r="814" spans="1:6" x14ac:dyDescent="0.2">
      <c r="A814">
        <v>66841</v>
      </c>
      <c r="B814" t="s">
        <v>25</v>
      </c>
      <c r="C814">
        <v>52</v>
      </c>
      <c r="D814" t="s">
        <v>18</v>
      </c>
      <c r="E814" s="10">
        <v>39536</v>
      </c>
      <c r="F814" t="s">
        <v>16</v>
      </c>
    </row>
    <row r="815" spans="1:6" x14ac:dyDescent="0.2">
      <c r="A815">
        <v>67058</v>
      </c>
      <c r="B815" t="s">
        <v>17</v>
      </c>
      <c r="C815">
        <v>24</v>
      </c>
      <c r="D815" t="s">
        <v>15</v>
      </c>
      <c r="E815" s="10">
        <v>45735</v>
      </c>
      <c r="F815" t="s">
        <v>16</v>
      </c>
    </row>
    <row r="816" spans="1:6" x14ac:dyDescent="0.2">
      <c r="A816">
        <v>67231</v>
      </c>
      <c r="B816" t="s">
        <v>17</v>
      </c>
      <c r="C816">
        <v>22</v>
      </c>
      <c r="D816" t="s">
        <v>15</v>
      </c>
      <c r="E816" s="10">
        <v>44002</v>
      </c>
      <c r="F816" t="s">
        <v>16</v>
      </c>
    </row>
    <row r="817" spans="1:6" x14ac:dyDescent="0.2">
      <c r="A817">
        <v>67660</v>
      </c>
      <c r="B817" t="s">
        <v>17</v>
      </c>
      <c r="C817">
        <v>33</v>
      </c>
      <c r="D817" t="s">
        <v>18</v>
      </c>
      <c r="E817" s="10">
        <v>44765</v>
      </c>
      <c r="F817" t="s">
        <v>16</v>
      </c>
    </row>
    <row r="818" spans="1:6" x14ac:dyDescent="0.2">
      <c r="A818">
        <v>67805</v>
      </c>
      <c r="B818" t="s">
        <v>17</v>
      </c>
      <c r="C818">
        <v>27</v>
      </c>
      <c r="D818" t="s">
        <v>18</v>
      </c>
      <c r="E818" s="10">
        <v>50301</v>
      </c>
      <c r="F818" t="s">
        <v>16</v>
      </c>
    </row>
    <row r="819" spans="1:6" hidden="1" x14ac:dyDescent="0.2">
      <c r="A819">
        <v>82186</v>
      </c>
      <c r="B819" t="s">
        <v>26</v>
      </c>
      <c r="C819">
        <v>7</v>
      </c>
      <c r="D819" t="s">
        <v>18</v>
      </c>
      <c r="E819">
        <v>1691</v>
      </c>
      <c r="F819" t="s">
        <v>24</v>
      </c>
    </row>
    <row r="820" spans="1:6" x14ac:dyDescent="0.2">
      <c r="A820">
        <v>68296</v>
      </c>
      <c r="B820" t="s">
        <v>21</v>
      </c>
      <c r="C820">
        <v>18</v>
      </c>
      <c r="D820" t="s">
        <v>18</v>
      </c>
      <c r="E820" s="10">
        <v>10299</v>
      </c>
      <c r="F820" t="s">
        <v>16</v>
      </c>
    </row>
    <row r="821" spans="1:6" x14ac:dyDescent="0.2">
      <c r="A821">
        <v>68353</v>
      </c>
      <c r="B821" t="s">
        <v>17</v>
      </c>
      <c r="C821">
        <v>25</v>
      </c>
      <c r="D821" t="s">
        <v>18</v>
      </c>
      <c r="E821" s="10">
        <v>34425</v>
      </c>
      <c r="F821" t="s">
        <v>16</v>
      </c>
    </row>
    <row r="822" spans="1:6" hidden="1" x14ac:dyDescent="0.2">
      <c r="A822">
        <v>82355</v>
      </c>
      <c r="B822" t="s">
        <v>25</v>
      </c>
      <c r="C822">
        <v>72</v>
      </c>
      <c r="D822" t="s">
        <v>18</v>
      </c>
      <c r="E822">
        <v>60808</v>
      </c>
      <c r="F822" t="s">
        <v>22</v>
      </c>
    </row>
    <row r="823" spans="1:6" x14ac:dyDescent="0.2">
      <c r="A823">
        <v>68357</v>
      </c>
      <c r="B823" t="s">
        <v>17</v>
      </c>
      <c r="C823">
        <v>27</v>
      </c>
      <c r="D823" t="s">
        <v>18</v>
      </c>
      <c r="E823" s="10">
        <v>38331</v>
      </c>
      <c r="F823" t="s">
        <v>16</v>
      </c>
    </row>
    <row r="824" spans="1:6" x14ac:dyDescent="0.2">
      <c r="A824">
        <v>68685</v>
      </c>
      <c r="B824" t="s">
        <v>17</v>
      </c>
      <c r="C824">
        <v>27</v>
      </c>
      <c r="D824" t="s">
        <v>18</v>
      </c>
      <c r="E824" s="10">
        <v>50353</v>
      </c>
      <c r="F824" t="s">
        <v>16</v>
      </c>
    </row>
    <row r="825" spans="1:6" x14ac:dyDescent="0.2">
      <c r="A825">
        <v>68759</v>
      </c>
      <c r="B825" t="s">
        <v>26</v>
      </c>
      <c r="C825">
        <v>10</v>
      </c>
      <c r="D825" t="s">
        <v>15</v>
      </c>
      <c r="E825" s="10">
        <v>992</v>
      </c>
      <c r="F825" t="s">
        <v>16</v>
      </c>
    </row>
    <row r="826" spans="1:6" x14ac:dyDescent="0.2">
      <c r="A826">
        <v>68863</v>
      </c>
      <c r="B826" t="s">
        <v>14</v>
      </c>
      <c r="C826">
        <v>13</v>
      </c>
      <c r="D826" t="s">
        <v>15</v>
      </c>
      <c r="E826" s="10">
        <v>3332</v>
      </c>
      <c r="F826" t="s">
        <v>16</v>
      </c>
    </row>
    <row r="827" spans="1:6" x14ac:dyDescent="0.2">
      <c r="A827">
        <v>69156</v>
      </c>
      <c r="B827" t="s">
        <v>21</v>
      </c>
      <c r="C827">
        <v>18</v>
      </c>
      <c r="D827" t="s">
        <v>15</v>
      </c>
      <c r="E827" s="10">
        <v>10969</v>
      </c>
      <c r="F827" t="s">
        <v>16</v>
      </c>
    </row>
    <row r="828" spans="1:6" x14ac:dyDescent="0.2">
      <c r="A828">
        <v>69614</v>
      </c>
      <c r="B828" t="s">
        <v>21</v>
      </c>
      <c r="C828">
        <v>18</v>
      </c>
      <c r="D828" t="s">
        <v>15</v>
      </c>
      <c r="E828" s="10">
        <v>8567</v>
      </c>
      <c r="F828" t="s">
        <v>16</v>
      </c>
    </row>
    <row r="829" spans="1:6" x14ac:dyDescent="0.2">
      <c r="A829">
        <v>69616</v>
      </c>
      <c r="B829" t="s">
        <v>21</v>
      </c>
      <c r="C829">
        <v>21</v>
      </c>
      <c r="D829" t="s">
        <v>15</v>
      </c>
      <c r="E829" s="10">
        <v>12172</v>
      </c>
      <c r="F829" t="s">
        <v>16</v>
      </c>
    </row>
    <row r="830" spans="1:6" x14ac:dyDescent="0.2">
      <c r="A830">
        <v>70230</v>
      </c>
      <c r="B830" t="s">
        <v>14</v>
      </c>
      <c r="C830">
        <v>17</v>
      </c>
      <c r="D830" t="s">
        <v>18</v>
      </c>
      <c r="E830" s="10">
        <v>3052</v>
      </c>
      <c r="F830" t="s">
        <v>16</v>
      </c>
    </row>
    <row r="831" spans="1:6" x14ac:dyDescent="0.2">
      <c r="A831">
        <v>70244</v>
      </c>
      <c r="B831" t="s">
        <v>17</v>
      </c>
      <c r="C831">
        <v>39</v>
      </c>
      <c r="D831" t="s">
        <v>15</v>
      </c>
      <c r="E831" s="10">
        <v>56716</v>
      </c>
      <c r="F831" t="s">
        <v>16</v>
      </c>
    </row>
    <row r="832" spans="1:6" hidden="1" x14ac:dyDescent="0.2">
      <c r="A832">
        <v>83443</v>
      </c>
      <c r="B832" t="s">
        <v>21</v>
      </c>
      <c r="C832">
        <v>20</v>
      </c>
      <c r="D832" t="s">
        <v>15</v>
      </c>
      <c r="E832">
        <v>11803</v>
      </c>
      <c r="F832" t="s">
        <v>24</v>
      </c>
    </row>
    <row r="833" spans="1:6" hidden="1" x14ac:dyDescent="0.2">
      <c r="A833">
        <v>83495</v>
      </c>
      <c r="B833" t="s">
        <v>17</v>
      </c>
      <c r="C833">
        <v>40</v>
      </c>
      <c r="D833" t="s">
        <v>18</v>
      </c>
      <c r="E833">
        <v>48064</v>
      </c>
      <c r="F833" t="s">
        <v>24</v>
      </c>
    </row>
    <row r="834" spans="1:6" x14ac:dyDescent="0.2">
      <c r="A834">
        <v>70727</v>
      </c>
      <c r="B834" t="s">
        <v>21</v>
      </c>
      <c r="C834">
        <v>20</v>
      </c>
      <c r="D834" t="s">
        <v>18</v>
      </c>
      <c r="E834" s="10">
        <v>11242</v>
      </c>
      <c r="F834" t="s">
        <v>16</v>
      </c>
    </row>
    <row r="835" spans="1:6" hidden="1" x14ac:dyDescent="0.2">
      <c r="A835">
        <v>83851</v>
      </c>
      <c r="B835" t="s">
        <v>17</v>
      </c>
      <c r="C835">
        <v>24</v>
      </c>
      <c r="D835" t="s">
        <v>18</v>
      </c>
      <c r="E835">
        <v>30803</v>
      </c>
      <c r="F835" t="s">
        <v>24</v>
      </c>
    </row>
    <row r="836" spans="1:6" x14ac:dyDescent="0.2">
      <c r="A836">
        <v>71233</v>
      </c>
      <c r="B836" t="s">
        <v>26</v>
      </c>
      <c r="C836">
        <v>9</v>
      </c>
      <c r="D836" t="s">
        <v>15</v>
      </c>
      <c r="E836" s="10">
        <v>1690</v>
      </c>
      <c r="F836" t="s">
        <v>16</v>
      </c>
    </row>
    <row r="837" spans="1:6" x14ac:dyDescent="0.2">
      <c r="A837">
        <v>71346</v>
      </c>
      <c r="B837" t="s">
        <v>25</v>
      </c>
      <c r="C837">
        <v>53</v>
      </c>
      <c r="D837" t="s">
        <v>18</v>
      </c>
      <c r="E837" s="10">
        <v>49380</v>
      </c>
      <c r="F837" t="s">
        <v>16</v>
      </c>
    </row>
    <row r="838" spans="1:6" x14ac:dyDescent="0.2">
      <c r="A838">
        <v>71526</v>
      </c>
      <c r="B838" t="s">
        <v>25</v>
      </c>
      <c r="C838">
        <v>65</v>
      </c>
      <c r="D838" t="s">
        <v>15</v>
      </c>
      <c r="E838" s="10">
        <v>54874</v>
      </c>
      <c r="F838" t="s">
        <v>16</v>
      </c>
    </row>
    <row r="839" spans="1:6" hidden="1" x14ac:dyDescent="0.2">
      <c r="A839">
        <v>84336</v>
      </c>
      <c r="B839" t="s">
        <v>17</v>
      </c>
      <c r="C839">
        <v>28</v>
      </c>
      <c r="D839" t="s">
        <v>15</v>
      </c>
      <c r="E839">
        <v>48968</v>
      </c>
      <c r="F839" t="s">
        <v>24</v>
      </c>
    </row>
    <row r="840" spans="1:6" x14ac:dyDescent="0.2">
      <c r="A840">
        <v>72028</v>
      </c>
      <c r="B840" t="s">
        <v>21</v>
      </c>
      <c r="C840">
        <v>19</v>
      </c>
      <c r="D840" t="s">
        <v>15</v>
      </c>
      <c r="E840" s="10">
        <v>11032</v>
      </c>
      <c r="F840" t="s">
        <v>16</v>
      </c>
    </row>
    <row r="841" spans="1:6" hidden="1" x14ac:dyDescent="0.2">
      <c r="A841">
        <v>84388</v>
      </c>
      <c r="B841" t="s">
        <v>19</v>
      </c>
      <c r="C841">
        <v>2</v>
      </c>
      <c r="D841" t="s">
        <v>15</v>
      </c>
      <c r="E841">
        <v>697</v>
      </c>
      <c r="F841" t="s">
        <v>23</v>
      </c>
    </row>
    <row r="842" spans="1:6" x14ac:dyDescent="0.2">
      <c r="A842">
        <v>72101</v>
      </c>
      <c r="B842" t="s">
        <v>17</v>
      </c>
      <c r="C842">
        <v>34</v>
      </c>
      <c r="D842" t="s">
        <v>18</v>
      </c>
      <c r="E842" s="10">
        <v>40546</v>
      </c>
      <c r="F842" t="s">
        <v>16</v>
      </c>
    </row>
    <row r="843" spans="1:6" hidden="1" x14ac:dyDescent="0.2">
      <c r="A843">
        <v>84477</v>
      </c>
      <c r="B843" t="s">
        <v>21</v>
      </c>
      <c r="C843">
        <v>19</v>
      </c>
      <c r="D843" t="s">
        <v>18</v>
      </c>
      <c r="E843">
        <v>9675</v>
      </c>
      <c r="F843" t="s">
        <v>22</v>
      </c>
    </row>
    <row r="844" spans="1:6" hidden="1" x14ac:dyDescent="0.2">
      <c r="A844">
        <v>84484</v>
      </c>
      <c r="B844" t="s">
        <v>14</v>
      </c>
      <c r="C844">
        <v>17</v>
      </c>
      <c r="D844" t="s">
        <v>15</v>
      </c>
      <c r="E844">
        <v>4216</v>
      </c>
      <c r="F844" t="s">
        <v>24</v>
      </c>
    </row>
    <row r="845" spans="1:6" x14ac:dyDescent="0.2">
      <c r="A845">
        <v>72365</v>
      </c>
      <c r="B845" t="s">
        <v>21</v>
      </c>
      <c r="C845">
        <v>19</v>
      </c>
      <c r="D845" t="s">
        <v>18</v>
      </c>
      <c r="E845" s="10">
        <v>11068</v>
      </c>
      <c r="F845" t="s">
        <v>16</v>
      </c>
    </row>
    <row r="846" spans="1:6" x14ac:dyDescent="0.2">
      <c r="A846">
        <v>72613</v>
      </c>
      <c r="B846" t="s">
        <v>21</v>
      </c>
      <c r="C846">
        <v>21</v>
      </c>
      <c r="D846" t="s">
        <v>15</v>
      </c>
      <c r="E846" s="10">
        <v>7166</v>
      </c>
      <c r="F846" t="s">
        <v>16</v>
      </c>
    </row>
    <row r="847" spans="1:6" hidden="1" x14ac:dyDescent="0.2">
      <c r="A847">
        <v>84949</v>
      </c>
      <c r="B847" t="s">
        <v>26</v>
      </c>
      <c r="C847">
        <v>7</v>
      </c>
      <c r="D847" t="s">
        <v>15</v>
      </c>
      <c r="E847">
        <v>2834</v>
      </c>
      <c r="F847" t="s">
        <v>22</v>
      </c>
    </row>
    <row r="848" spans="1:6" x14ac:dyDescent="0.2">
      <c r="A848">
        <v>73085</v>
      </c>
      <c r="B848" t="s">
        <v>21</v>
      </c>
      <c r="C848">
        <v>20</v>
      </c>
      <c r="D848" t="s">
        <v>18</v>
      </c>
      <c r="E848" s="10">
        <v>10898</v>
      </c>
      <c r="F848" t="s">
        <v>16</v>
      </c>
    </row>
    <row r="849" spans="1:6" x14ac:dyDescent="0.2">
      <c r="A849">
        <v>73713</v>
      </c>
      <c r="B849" t="s">
        <v>25</v>
      </c>
      <c r="C849">
        <v>62</v>
      </c>
      <c r="D849" t="s">
        <v>15</v>
      </c>
      <c r="E849" s="10">
        <v>50219</v>
      </c>
      <c r="F849" t="s">
        <v>16</v>
      </c>
    </row>
    <row r="850" spans="1:6" x14ac:dyDescent="0.2">
      <c r="A850">
        <v>73772</v>
      </c>
      <c r="B850" t="s">
        <v>17</v>
      </c>
      <c r="C850">
        <v>35</v>
      </c>
      <c r="D850" t="s">
        <v>15</v>
      </c>
      <c r="E850" s="10">
        <v>42329</v>
      </c>
      <c r="F850" t="s">
        <v>16</v>
      </c>
    </row>
    <row r="851" spans="1:6" x14ac:dyDescent="0.2">
      <c r="A851">
        <v>74146</v>
      </c>
      <c r="B851" t="s">
        <v>21</v>
      </c>
      <c r="C851">
        <v>19</v>
      </c>
      <c r="D851" t="s">
        <v>15</v>
      </c>
      <c r="E851" s="10">
        <v>8398</v>
      </c>
      <c r="F851" t="s">
        <v>16</v>
      </c>
    </row>
    <row r="852" spans="1:6" x14ac:dyDescent="0.2">
      <c r="A852">
        <v>74185</v>
      </c>
      <c r="B852" t="s">
        <v>26</v>
      </c>
      <c r="C852">
        <v>7</v>
      </c>
      <c r="D852" t="s">
        <v>18</v>
      </c>
      <c r="E852" s="10">
        <v>1728</v>
      </c>
      <c r="F852" t="s">
        <v>16</v>
      </c>
    </row>
    <row r="853" spans="1:6" x14ac:dyDescent="0.2">
      <c r="A853">
        <v>74683</v>
      </c>
      <c r="B853" t="s">
        <v>14</v>
      </c>
      <c r="C853">
        <v>15</v>
      </c>
      <c r="D853" t="s">
        <v>18</v>
      </c>
      <c r="E853" s="10">
        <v>4616</v>
      </c>
      <c r="F853" t="s">
        <v>16</v>
      </c>
    </row>
    <row r="854" spans="1:6" hidden="1" x14ac:dyDescent="0.2">
      <c r="A854">
        <v>85491</v>
      </c>
      <c r="B854" t="s">
        <v>17</v>
      </c>
      <c r="C854">
        <v>23</v>
      </c>
      <c r="D854" t="s">
        <v>18</v>
      </c>
      <c r="E854">
        <v>25348</v>
      </c>
      <c r="F854" t="s">
        <v>24</v>
      </c>
    </row>
    <row r="855" spans="1:6" x14ac:dyDescent="0.2">
      <c r="A855">
        <v>74906</v>
      </c>
      <c r="B855" t="s">
        <v>21</v>
      </c>
      <c r="C855">
        <v>21</v>
      </c>
      <c r="D855" t="s">
        <v>18</v>
      </c>
      <c r="E855" s="10">
        <v>9363</v>
      </c>
      <c r="F855" t="s">
        <v>16</v>
      </c>
    </row>
    <row r="856" spans="1:6" x14ac:dyDescent="0.2">
      <c r="A856">
        <v>74970</v>
      </c>
      <c r="B856" t="s">
        <v>21</v>
      </c>
      <c r="C856">
        <v>20</v>
      </c>
      <c r="D856" t="s">
        <v>15</v>
      </c>
      <c r="E856" s="10">
        <v>10815</v>
      </c>
      <c r="F856" t="s">
        <v>16</v>
      </c>
    </row>
    <row r="857" spans="1:6" x14ac:dyDescent="0.2">
      <c r="A857">
        <v>75037</v>
      </c>
      <c r="B857" t="s">
        <v>26</v>
      </c>
      <c r="C857">
        <v>10</v>
      </c>
      <c r="D857" t="s">
        <v>15</v>
      </c>
      <c r="E857" s="10">
        <v>2368</v>
      </c>
      <c r="F857" t="s">
        <v>16</v>
      </c>
    </row>
    <row r="858" spans="1:6" x14ac:dyDescent="0.2">
      <c r="A858">
        <v>75122</v>
      </c>
      <c r="B858" t="s">
        <v>25</v>
      </c>
      <c r="C858">
        <v>72</v>
      </c>
      <c r="D858" t="s">
        <v>15</v>
      </c>
      <c r="E858" s="10">
        <v>50198</v>
      </c>
      <c r="F858" t="s">
        <v>16</v>
      </c>
    </row>
    <row r="859" spans="1:6" hidden="1" x14ac:dyDescent="0.2">
      <c r="A859">
        <v>85775</v>
      </c>
      <c r="B859" t="s">
        <v>21</v>
      </c>
      <c r="C859">
        <v>19</v>
      </c>
      <c r="D859" t="s">
        <v>15</v>
      </c>
      <c r="E859">
        <v>12243</v>
      </c>
      <c r="F859" t="s">
        <v>24</v>
      </c>
    </row>
    <row r="860" spans="1:6" hidden="1" x14ac:dyDescent="0.2">
      <c r="A860">
        <v>86019</v>
      </c>
      <c r="B860" t="s">
        <v>17</v>
      </c>
      <c r="C860">
        <v>25</v>
      </c>
      <c r="D860" t="s">
        <v>18</v>
      </c>
      <c r="E860">
        <v>40999</v>
      </c>
      <c r="F860" t="s">
        <v>24</v>
      </c>
    </row>
    <row r="861" spans="1:6" x14ac:dyDescent="0.2">
      <c r="A861">
        <v>75140</v>
      </c>
      <c r="B861" t="s">
        <v>14</v>
      </c>
      <c r="C861">
        <v>14</v>
      </c>
      <c r="D861" t="s">
        <v>18</v>
      </c>
      <c r="E861" s="10">
        <v>2551</v>
      </c>
      <c r="F861" t="s">
        <v>16</v>
      </c>
    </row>
    <row r="862" spans="1:6" x14ac:dyDescent="0.2">
      <c r="A862">
        <v>75193</v>
      </c>
      <c r="B862" t="s">
        <v>21</v>
      </c>
      <c r="C862">
        <v>19</v>
      </c>
      <c r="D862" t="s">
        <v>15</v>
      </c>
      <c r="E862" s="10">
        <v>8804</v>
      </c>
      <c r="F862" t="s">
        <v>16</v>
      </c>
    </row>
    <row r="863" spans="1:6" x14ac:dyDescent="0.2">
      <c r="A863">
        <v>75753</v>
      </c>
      <c r="B863" t="s">
        <v>14</v>
      </c>
      <c r="C863">
        <v>13</v>
      </c>
      <c r="D863" t="s">
        <v>15</v>
      </c>
      <c r="E863" s="10">
        <v>5098</v>
      </c>
      <c r="F863" t="s">
        <v>16</v>
      </c>
    </row>
    <row r="864" spans="1:6" hidden="1" x14ac:dyDescent="0.2">
      <c r="A864">
        <v>86416</v>
      </c>
      <c r="B864" t="s">
        <v>17</v>
      </c>
      <c r="C864">
        <v>26</v>
      </c>
      <c r="D864" t="s">
        <v>18</v>
      </c>
      <c r="E864">
        <v>33634</v>
      </c>
      <c r="F864" t="s">
        <v>24</v>
      </c>
    </row>
    <row r="865" spans="1:6" x14ac:dyDescent="0.2">
      <c r="A865">
        <v>75960</v>
      </c>
      <c r="B865" t="s">
        <v>17</v>
      </c>
      <c r="C865">
        <v>36</v>
      </c>
      <c r="D865" t="s">
        <v>18</v>
      </c>
      <c r="E865" s="10">
        <v>38246</v>
      </c>
      <c r="F865" t="s">
        <v>16</v>
      </c>
    </row>
    <row r="866" spans="1:6" hidden="1" x14ac:dyDescent="0.2">
      <c r="A866">
        <v>86579</v>
      </c>
      <c r="B866" t="s">
        <v>17</v>
      </c>
      <c r="C866">
        <v>42</v>
      </c>
      <c r="D866" t="s">
        <v>15</v>
      </c>
      <c r="E866">
        <v>51084</v>
      </c>
      <c r="F866" t="s">
        <v>22</v>
      </c>
    </row>
    <row r="867" spans="1:6" x14ac:dyDescent="0.2">
      <c r="A867">
        <v>76353</v>
      </c>
      <c r="B867" t="s">
        <v>25</v>
      </c>
      <c r="C867">
        <v>66</v>
      </c>
      <c r="D867" t="s">
        <v>18</v>
      </c>
      <c r="E867" s="10">
        <v>47006</v>
      </c>
      <c r="F867" t="s">
        <v>16</v>
      </c>
    </row>
    <row r="868" spans="1:6" x14ac:dyDescent="0.2">
      <c r="A868">
        <v>76518</v>
      </c>
      <c r="B868" t="s">
        <v>25</v>
      </c>
      <c r="C868">
        <v>88</v>
      </c>
      <c r="D868" t="s">
        <v>15</v>
      </c>
      <c r="E868" s="10">
        <v>56415</v>
      </c>
      <c r="F868" t="s">
        <v>16</v>
      </c>
    </row>
    <row r="869" spans="1:6" x14ac:dyDescent="0.2">
      <c r="A869">
        <v>76533</v>
      </c>
      <c r="B869" t="s">
        <v>21</v>
      </c>
      <c r="C869">
        <v>18</v>
      </c>
      <c r="D869" t="s">
        <v>18</v>
      </c>
      <c r="E869" s="10">
        <v>11240</v>
      </c>
      <c r="F869" t="s">
        <v>16</v>
      </c>
    </row>
    <row r="870" spans="1:6" x14ac:dyDescent="0.2">
      <c r="A870">
        <v>76547</v>
      </c>
      <c r="B870" t="s">
        <v>25</v>
      </c>
      <c r="C870">
        <v>79</v>
      </c>
      <c r="D870" t="s">
        <v>15</v>
      </c>
      <c r="E870" s="10">
        <v>58469</v>
      </c>
      <c r="F870" t="s">
        <v>16</v>
      </c>
    </row>
    <row r="871" spans="1:6" x14ac:dyDescent="0.2">
      <c r="A871">
        <v>76701</v>
      </c>
      <c r="B871" t="s">
        <v>14</v>
      </c>
      <c r="C871">
        <v>14</v>
      </c>
      <c r="D871" t="s">
        <v>18</v>
      </c>
      <c r="E871" s="10">
        <v>4842</v>
      </c>
      <c r="F871" t="s">
        <v>16</v>
      </c>
    </row>
    <row r="872" spans="1:6" x14ac:dyDescent="0.2">
      <c r="A872">
        <v>76737</v>
      </c>
      <c r="B872" t="s">
        <v>14</v>
      </c>
      <c r="C872">
        <v>14</v>
      </c>
      <c r="D872" t="s">
        <v>18</v>
      </c>
      <c r="E872" s="10">
        <v>2701</v>
      </c>
      <c r="F872" t="s">
        <v>16</v>
      </c>
    </row>
    <row r="873" spans="1:6" hidden="1" x14ac:dyDescent="0.2">
      <c r="A873">
        <v>87444</v>
      </c>
      <c r="B873" t="s">
        <v>14</v>
      </c>
      <c r="C873">
        <v>14</v>
      </c>
      <c r="D873" t="s">
        <v>15</v>
      </c>
      <c r="E873">
        <v>1893</v>
      </c>
      <c r="F873" t="s">
        <v>23</v>
      </c>
    </row>
    <row r="874" spans="1:6" x14ac:dyDescent="0.2">
      <c r="A874">
        <v>76776</v>
      </c>
      <c r="B874" t="s">
        <v>25</v>
      </c>
      <c r="C874">
        <v>90</v>
      </c>
      <c r="D874" t="s">
        <v>15</v>
      </c>
      <c r="E874" s="10">
        <v>57845</v>
      </c>
      <c r="F874" t="s">
        <v>16</v>
      </c>
    </row>
    <row r="875" spans="1:6" hidden="1" x14ac:dyDescent="0.2">
      <c r="A875">
        <v>87737</v>
      </c>
      <c r="B875" t="s">
        <v>25</v>
      </c>
      <c r="C875">
        <v>91</v>
      </c>
      <c r="D875" t="s">
        <v>18</v>
      </c>
      <c r="E875">
        <v>54481</v>
      </c>
      <c r="F875" t="s">
        <v>24</v>
      </c>
    </row>
    <row r="876" spans="1:6" x14ac:dyDescent="0.2">
      <c r="A876">
        <v>76834</v>
      </c>
      <c r="B876" t="s">
        <v>21</v>
      </c>
      <c r="C876">
        <v>21</v>
      </c>
      <c r="D876" t="s">
        <v>18</v>
      </c>
      <c r="E876" s="10">
        <v>6482</v>
      </c>
      <c r="F876" t="s">
        <v>16</v>
      </c>
    </row>
    <row r="877" spans="1:6" hidden="1" x14ac:dyDescent="0.2">
      <c r="A877">
        <v>87923</v>
      </c>
      <c r="B877" t="s">
        <v>17</v>
      </c>
      <c r="C877">
        <v>24</v>
      </c>
      <c r="D877" t="s">
        <v>15</v>
      </c>
      <c r="E877">
        <v>34274</v>
      </c>
      <c r="F877" t="s">
        <v>24</v>
      </c>
    </row>
    <row r="878" spans="1:6" x14ac:dyDescent="0.2">
      <c r="A878">
        <v>76990</v>
      </c>
      <c r="B878" t="s">
        <v>21</v>
      </c>
      <c r="C878">
        <v>21</v>
      </c>
      <c r="D878" t="s">
        <v>15</v>
      </c>
      <c r="E878" s="10">
        <v>12552</v>
      </c>
      <c r="F878" t="s">
        <v>16</v>
      </c>
    </row>
    <row r="879" spans="1:6" x14ac:dyDescent="0.2">
      <c r="A879">
        <v>77021</v>
      </c>
      <c r="B879" t="s">
        <v>17</v>
      </c>
      <c r="C879">
        <v>32</v>
      </c>
      <c r="D879" t="s">
        <v>18</v>
      </c>
      <c r="E879" s="10">
        <v>30791</v>
      </c>
      <c r="F879" t="s">
        <v>16</v>
      </c>
    </row>
    <row r="880" spans="1:6" hidden="1" x14ac:dyDescent="0.2">
      <c r="A880">
        <v>88276</v>
      </c>
      <c r="B880" t="s">
        <v>19</v>
      </c>
      <c r="C880">
        <v>4</v>
      </c>
      <c r="D880" t="s">
        <v>15</v>
      </c>
      <c r="E880">
        <v>1645</v>
      </c>
      <c r="F880" t="s">
        <v>24</v>
      </c>
    </row>
    <row r="881" spans="1:6" x14ac:dyDescent="0.2">
      <c r="A881">
        <v>77349</v>
      </c>
      <c r="B881" t="s">
        <v>14</v>
      </c>
      <c r="C881">
        <v>16</v>
      </c>
      <c r="D881" t="s">
        <v>18</v>
      </c>
      <c r="E881" s="10">
        <v>3047</v>
      </c>
      <c r="F881" t="s">
        <v>16</v>
      </c>
    </row>
    <row r="882" spans="1:6" x14ac:dyDescent="0.2">
      <c r="A882">
        <v>77829</v>
      </c>
      <c r="B882" t="s">
        <v>17</v>
      </c>
      <c r="C882">
        <v>39</v>
      </c>
      <c r="D882" t="s">
        <v>18</v>
      </c>
      <c r="E882" s="10">
        <v>33259</v>
      </c>
      <c r="F882" t="s">
        <v>16</v>
      </c>
    </row>
    <row r="883" spans="1:6" x14ac:dyDescent="0.2">
      <c r="A883">
        <v>77933</v>
      </c>
      <c r="B883" t="s">
        <v>25</v>
      </c>
      <c r="C883">
        <v>51</v>
      </c>
      <c r="D883" t="s">
        <v>15</v>
      </c>
      <c r="E883" s="10">
        <v>52105</v>
      </c>
      <c r="F883" t="s">
        <v>16</v>
      </c>
    </row>
    <row r="884" spans="1:6" x14ac:dyDescent="0.2">
      <c r="A884">
        <v>78221</v>
      </c>
      <c r="B884" t="s">
        <v>17</v>
      </c>
      <c r="C884">
        <v>30</v>
      </c>
      <c r="D884" t="s">
        <v>18</v>
      </c>
      <c r="E884" s="10">
        <v>40268</v>
      </c>
      <c r="F884" t="s">
        <v>16</v>
      </c>
    </row>
    <row r="885" spans="1:6" x14ac:dyDescent="0.2">
      <c r="A885">
        <v>78374</v>
      </c>
      <c r="B885" t="s">
        <v>25</v>
      </c>
      <c r="C885">
        <v>66</v>
      </c>
      <c r="D885" t="s">
        <v>18</v>
      </c>
      <c r="E885" s="10">
        <v>42160</v>
      </c>
      <c r="F885" t="s">
        <v>16</v>
      </c>
    </row>
    <row r="886" spans="1:6" x14ac:dyDescent="0.2">
      <c r="A886">
        <v>78612</v>
      </c>
      <c r="B886" t="s">
        <v>17</v>
      </c>
      <c r="C886">
        <v>35</v>
      </c>
      <c r="D886" t="s">
        <v>15</v>
      </c>
      <c r="E886" s="10">
        <v>33070</v>
      </c>
      <c r="F886" t="s">
        <v>16</v>
      </c>
    </row>
    <row r="887" spans="1:6" hidden="1" x14ac:dyDescent="0.2">
      <c r="A887">
        <v>89102</v>
      </c>
      <c r="B887" t="s">
        <v>17</v>
      </c>
      <c r="C887">
        <v>26</v>
      </c>
      <c r="D887" t="s">
        <v>15</v>
      </c>
      <c r="E887">
        <v>43109</v>
      </c>
      <c r="F887" t="s">
        <v>22</v>
      </c>
    </row>
    <row r="888" spans="1:6" x14ac:dyDescent="0.2">
      <c r="A888">
        <v>78803</v>
      </c>
      <c r="B888" t="s">
        <v>17</v>
      </c>
      <c r="C888">
        <v>32</v>
      </c>
      <c r="D888" t="s">
        <v>18</v>
      </c>
      <c r="E888" s="10">
        <v>32704</v>
      </c>
      <c r="F888" t="s">
        <v>16</v>
      </c>
    </row>
    <row r="889" spans="1:6" x14ac:dyDescent="0.2">
      <c r="A889">
        <v>79204</v>
      </c>
      <c r="B889" t="s">
        <v>21</v>
      </c>
      <c r="C889">
        <v>19</v>
      </c>
      <c r="D889" t="s">
        <v>18</v>
      </c>
      <c r="E889" s="10">
        <v>5303</v>
      </c>
      <c r="F889" t="s">
        <v>16</v>
      </c>
    </row>
    <row r="890" spans="1:6" x14ac:dyDescent="0.2">
      <c r="A890">
        <v>79659</v>
      </c>
      <c r="B890" t="s">
        <v>19</v>
      </c>
      <c r="C890">
        <v>0</v>
      </c>
      <c r="D890" t="s">
        <v>15</v>
      </c>
      <c r="E890" s="10">
        <v>1704</v>
      </c>
      <c r="F890" t="s">
        <v>16</v>
      </c>
    </row>
    <row r="891" spans="1:6" x14ac:dyDescent="0.2">
      <c r="A891">
        <v>79711</v>
      </c>
      <c r="B891" t="s">
        <v>17</v>
      </c>
      <c r="C891">
        <v>31</v>
      </c>
      <c r="D891" t="s">
        <v>18</v>
      </c>
      <c r="E891" s="10">
        <v>33051</v>
      </c>
      <c r="F891" t="s">
        <v>16</v>
      </c>
    </row>
    <row r="892" spans="1:6" x14ac:dyDescent="0.2">
      <c r="A892">
        <v>80426</v>
      </c>
      <c r="B892" t="s">
        <v>21</v>
      </c>
      <c r="C892">
        <v>19</v>
      </c>
      <c r="D892" t="s">
        <v>15</v>
      </c>
      <c r="E892" s="10">
        <v>15527</v>
      </c>
      <c r="F892" t="s">
        <v>16</v>
      </c>
    </row>
    <row r="893" spans="1:6" x14ac:dyDescent="0.2">
      <c r="A893">
        <v>80529</v>
      </c>
      <c r="B893" t="s">
        <v>26</v>
      </c>
      <c r="C893">
        <v>8</v>
      </c>
      <c r="D893" t="s">
        <v>15</v>
      </c>
      <c r="E893" s="10">
        <v>2459</v>
      </c>
      <c r="F893" t="s">
        <v>16</v>
      </c>
    </row>
    <row r="894" spans="1:6" hidden="1" x14ac:dyDescent="0.2">
      <c r="A894">
        <v>89361</v>
      </c>
      <c r="B894" t="s">
        <v>21</v>
      </c>
      <c r="C894">
        <v>19</v>
      </c>
      <c r="D894" t="s">
        <v>15</v>
      </c>
      <c r="E894">
        <v>7475</v>
      </c>
      <c r="F894" t="s">
        <v>24</v>
      </c>
    </row>
    <row r="895" spans="1:6" x14ac:dyDescent="0.2">
      <c r="A895">
        <v>80955</v>
      </c>
      <c r="B895" t="s">
        <v>26</v>
      </c>
      <c r="C895">
        <v>11</v>
      </c>
      <c r="D895" t="s">
        <v>18</v>
      </c>
      <c r="E895" s="10">
        <v>2727</v>
      </c>
      <c r="F895" t="s">
        <v>16</v>
      </c>
    </row>
    <row r="896" spans="1:6" hidden="1" x14ac:dyDescent="0.2">
      <c r="A896">
        <v>89809</v>
      </c>
      <c r="B896" t="s">
        <v>21</v>
      </c>
      <c r="C896">
        <v>19</v>
      </c>
      <c r="D896" t="s">
        <v>15</v>
      </c>
      <c r="E896">
        <v>8820</v>
      </c>
      <c r="F896" t="s">
        <v>24</v>
      </c>
    </row>
    <row r="897" spans="1:6" x14ac:dyDescent="0.2">
      <c r="A897">
        <v>81203</v>
      </c>
      <c r="B897" t="s">
        <v>17</v>
      </c>
      <c r="C897">
        <v>37</v>
      </c>
      <c r="D897" t="s">
        <v>18</v>
      </c>
      <c r="E897" s="10">
        <v>41550</v>
      </c>
      <c r="F897" t="s">
        <v>16</v>
      </c>
    </row>
    <row r="898" spans="1:6" hidden="1" x14ac:dyDescent="0.2">
      <c r="A898">
        <v>90037</v>
      </c>
      <c r="B898" t="s">
        <v>21</v>
      </c>
      <c r="C898">
        <v>21</v>
      </c>
      <c r="D898" t="s">
        <v>18</v>
      </c>
      <c r="E898">
        <v>11327</v>
      </c>
      <c r="F898" t="s">
        <v>22</v>
      </c>
    </row>
    <row r="899" spans="1:6" x14ac:dyDescent="0.2">
      <c r="A899">
        <v>81394</v>
      </c>
      <c r="B899" t="s">
        <v>17</v>
      </c>
      <c r="C899">
        <v>23</v>
      </c>
      <c r="D899" t="s">
        <v>18</v>
      </c>
      <c r="E899" s="10">
        <v>36521</v>
      </c>
      <c r="F899" t="s">
        <v>16</v>
      </c>
    </row>
    <row r="900" spans="1:6" x14ac:dyDescent="0.2">
      <c r="A900">
        <v>81512</v>
      </c>
      <c r="B900" t="s">
        <v>21</v>
      </c>
      <c r="C900">
        <v>20</v>
      </c>
      <c r="D900" t="s">
        <v>15</v>
      </c>
      <c r="E900" s="10">
        <v>7237</v>
      </c>
      <c r="F900" t="s">
        <v>16</v>
      </c>
    </row>
    <row r="901" spans="1:6" hidden="1" x14ac:dyDescent="0.2">
      <c r="A901">
        <v>90233</v>
      </c>
      <c r="B901" t="s">
        <v>21</v>
      </c>
      <c r="C901">
        <v>19</v>
      </c>
      <c r="D901" t="s">
        <v>18</v>
      </c>
      <c r="E901">
        <v>9979</v>
      </c>
      <c r="F901" t="s">
        <v>24</v>
      </c>
    </row>
    <row r="902" spans="1:6" x14ac:dyDescent="0.2">
      <c r="A902">
        <v>81669</v>
      </c>
      <c r="B902" t="s">
        <v>17</v>
      </c>
      <c r="C902">
        <v>24</v>
      </c>
      <c r="D902" t="s">
        <v>15</v>
      </c>
      <c r="E902" s="10">
        <v>42746</v>
      </c>
      <c r="F902" t="s">
        <v>16</v>
      </c>
    </row>
    <row r="903" spans="1:6" x14ac:dyDescent="0.2">
      <c r="A903">
        <v>81703</v>
      </c>
      <c r="B903" t="s">
        <v>17</v>
      </c>
      <c r="C903">
        <v>26</v>
      </c>
      <c r="D903" t="s">
        <v>18</v>
      </c>
      <c r="E903" s="10">
        <v>34915</v>
      </c>
      <c r="F903" t="s">
        <v>16</v>
      </c>
    </row>
    <row r="904" spans="1:6" x14ac:dyDescent="0.2">
      <c r="A904">
        <v>81816</v>
      </c>
      <c r="B904" t="s">
        <v>21</v>
      </c>
      <c r="C904">
        <v>18</v>
      </c>
      <c r="D904" t="s">
        <v>15</v>
      </c>
      <c r="E904" s="10">
        <v>7144</v>
      </c>
      <c r="F904" t="s">
        <v>16</v>
      </c>
    </row>
    <row r="905" spans="1:6" hidden="1" x14ac:dyDescent="0.2">
      <c r="A905">
        <v>90644</v>
      </c>
      <c r="B905" t="s">
        <v>21</v>
      </c>
      <c r="C905">
        <v>19</v>
      </c>
      <c r="D905" t="s">
        <v>15</v>
      </c>
      <c r="E905">
        <v>7061</v>
      </c>
      <c r="F905" t="s">
        <v>22</v>
      </c>
    </row>
    <row r="906" spans="1:6" x14ac:dyDescent="0.2">
      <c r="A906">
        <v>82022</v>
      </c>
      <c r="B906" t="s">
        <v>17</v>
      </c>
      <c r="C906">
        <v>22</v>
      </c>
      <c r="D906" t="s">
        <v>18</v>
      </c>
      <c r="E906" s="10">
        <v>37201</v>
      </c>
      <c r="F906" t="s">
        <v>16</v>
      </c>
    </row>
    <row r="907" spans="1:6" x14ac:dyDescent="0.2">
      <c r="A907">
        <v>82230</v>
      </c>
      <c r="B907" t="s">
        <v>17</v>
      </c>
      <c r="C907">
        <v>29</v>
      </c>
      <c r="D907" t="s">
        <v>15</v>
      </c>
      <c r="E907" s="10">
        <v>46356</v>
      </c>
      <c r="F907" t="s">
        <v>16</v>
      </c>
    </row>
    <row r="908" spans="1:6" hidden="1" x14ac:dyDescent="0.2">
      <c r="A908">
        <v>90953</v>
      </c>
      <c r="B908" t="s">
        <v>26</v>
      </c>
      <c r="C908">
        <v>10</v>
      </c>
      <c r="D908" t="s">
        <v>15</v>
      </c>
      <c r="E908">
        <v>669</v>
      </c>
      <c r="F908" t="s">
        <v>23</v>
      </c>
    </row>
    <row r="909" spans="1:6" x14ac:dyDescent="0.2">
      <c r="A909">
        <v>82254</v>
      </c>
      <c r="B909" t="s">
        <v>17</v>
      </c>
      <c r="C909">
        <v>33</v>
      </c>
      <c r="D909" t="s">
        <v>18</v>
      </c>
      <c r="E909" s="10">
        <v>38762</v>
      </c>
      <c r="F909" t="s">
        <v>16</v>
      </c>
    </row>
    <row r="910" spans="1:6" x14ac:dyDescent="0.2">
      <c r="A910">
        <v>82582</v>
      </c>
      <c r="B910" t="s">
        <v>25</v>
      </c>
      <c r="C910">
        <v>62</v>
      </c>
      <c r="D910" t="s">
        <v>18</v>
      </c>
      <c r="E910" s="10">
        <v>47709</v>
      </c>
      <c r="F910" t="s">
        <v>16</v>
      </c>
    </row>
    <row r="911" spans="1:6" x14ac:dyDescent="0.2">
      <c r="A911">
        <v>83000</v>
      </c>
      <c r="B911" t="s">
        <v>25</v>
      </c>
      <c r="C911">
        <v>80</v>
      </c>
      <c r="D911" t="s">
        <v>18</v>
      </c>
      <c r="E911" s="10">
        <v>68890</v>
      </c>
      <c r="F911" t="s">
        <v>16</v>
      </c>
    </row>
    <row r="912" spans="1:6" x14ac:dyDescent="0.2">
      <c r="A912">
        <v>83212</v>
      </c>
      <c r="B912" t="s">
        <v>17</v>
      </c>
      <c r="C912">
        <v>29</v>
      </c>
      <c r="D912" t="s">
        <v>18</v>
      </c>
      <c r="E912" s="10">
        <v>36658</v>
      </c>
      <c r="F912" t="s">
        <v>16</v>
      </c>
    </row>
    <row r="913" spans="1:6" x14ac:dyDescent="0.2">
      <c r="A913">
        <v>83224</v>
      </c>
      <c r="B913" t="s">
        <v>25</v>
      </c>
      <c r="C913">
        <v>73</v>
      </c>
      <c r="D913" t="s">
        <v>18</v>
      </c>
      <c r="E913" s="10">
        <v>51455</v>
      </c>
      <c r="F913" t="s">
        <v>16</v>
      </c>
    </row>
    <row r="914" spans="1:6" x14ac:dyDescent="0.2">
      <c r="A914">
        <v>83771</v>
      </c>
      <c r="B914" t="s">
        <v>14</v>
      </c>
      <c r="C914">
        <v>13</v>
      </c>
      <c r="D914" t="s">
        <v>15</v>
      </c>
      <c r="E914" s="10">
        <v>4473</v>
      </c>
      <c r="F914" t="s">
        <v>16</v>
      </c>
    </row>
    <row r="915" spans="1:6" x14ac:dyDescent="0.2">
      <c r="A915">
        <v>83897</v>
      </c>
      <c r="B915" t="s">
        <v>17</v>
      </c>
      <c r="C915">
        <v>32</v>
      </c>
      <c r="D915" t="s">
        <v>15</v>
      </c>
      <c r="E915" s="10">
        <v>37637</v>
      </c>
      <c r="F915" t="s">
        <v>16</v>
      </c>
    </row>
    <row r="916" spans="1:6" x14ac:dyDescent="0.2">
      <c r="A916">
        <v>83972</v>
      </c>
      <c r="B916" t="s">
        <v>25</v>
      </c>
      <c r="C916">
        <v>62</v>
      </c>
      <c r="D916" t="s">
        <v>18</v>
      </c>
      <c r="E916" s="10">
        <v>44111</v>
      </c>
      <c r="F916" t="s">
        <v>16</v>
      </c>
    </row>
    <row r="917" spans="1:6" x14ac:dyDescent="0.2">
      <c r="A917">
        <v>84259</v>
      </c>
      <c r="B917" t="s">
        <v>21</v>
      </c>
      <c r="C917">
        <v>18</v>
      </c>
      <c r="D917" t="s">
        <v>18</v>
      </c>
      <c r="E917" s="10">
        <v>8985</v>
      </c>
      <c r="F917" t="s">
        <v>16</v>
      </c>
    </row>
    <row r="918" spans="1:6" x14ac:dyDescent="0.2">
      <c r="A918">
        <v>84737</v>
      </c>
      <c r="B918" t="s">
        <v>14</v>
      </c>
      <c r="C918">
        <v>14</v>
      </c>
      <c r="D918" t="s">
        <v>15</v>
      </c>
      <c r="E918" s="10">
        <v>5576</v>
      </c>
      <c r="F918" t="s">
        <v>16</v>
      </c>
    </row>
    <row r="919" spans="1:6" x14ac:dyDescent="0.2">
      <c r="A919">
        <v>84996</v>
      </c>
      <c r="B919" t="s">
        <v>26</v>
      </c>
      <c r="C919">
        <v>12</v>
      </c>
      <c r="D919" t="s">
        <v>18</v>
      </c>
      <c r="E919" s="10">
        <v>1531</v>
      </c>
      <c r="F919" t="s">
        <v>16</v>
      </c>
    </row>
    <row r="920" spans="1:6" x14ac:dyDescent="0.2">
      <c r="A920">
        <v>85005</v>
      </c>
      <c r="B920" t="s">
        <v>14</v>
      </c>
      <c r="C920">
        <v>15</v>
      </c>
      <c r="D920" t="s">
        <v>15</v>
      </c>
      <c r="E920" s="10">
        <v>5254</v>
      </c>
      <c r="F920" t="s">
        <v>16</v>
      </c>
    </row>
    <row r="921" spans="1:6" x14ac:dyDescent="0.2">
      <c r="A921">
        <v>85129</v>
      </c>
      <c r="B921" t="s">
        <v>17</v>
      </c>
      <c r="C921">
        <v>23</v>
      </c>
      <c r="D921" t="s">
        <v>18</v>
      </c>
      <c r="E921" s="10">
        <v>44219</v>
      </c>
      <c r="F921" t="s">
        <v>16</v>
      </c>
    </row>
    <row r="922" spans="1:6" x14ac:dyDescent="0.2">
      <c r="A922">
        <v>85261</v>
      </c>
      <c r="B922" t="s">
        <v>14</v>
      </c>
      <c r="C922">
        <v>14</v>
      </c>
      <c r="D922" t="s">
        <v>15</v>
      </c>
      <c r="E922" s="10">
        <v>3189</v>
      </c>
      <c r="F922" t="s">
        <v>16</v>
      </c>
    </row>
    <row r="923" spans="1:6" x14ac:dyDescent="0.2">
      <c r="A923">
        <v>85639</v>
      </c>
      <c r="B923" t="s">
        <v>17</v>
      </c>
      <c r="C923">
        <v>33</v>
      </c>
      <c r="D923" t="s">
        <v>18</v>
      </c>
      <c r="E923" s="10">
        <v>39010</v>
      </c>
      <c r="F923" t="s">
        <v>16</v>
      </c>
    </row>
    <row r="924" spans="1:6" x14ac:dyDescent="0.2">
      <c r="A924">
        <v>85741</v>
      </c>
      <c r="B924" t="s">
        <v>17</v>
      </c>
      <c r="C924">
        <v>41</v>
      </c>
      <c r="D924" t="s">
        <v>15</v>
      </c>
      <c r="E924" s="10">
        <v>49223</v>
      </c>
      <c r="F924" t="s">
        <v>16</v>
      </c>
    </row>
    <row r="925" spans="1:6" x14ac:dyDescent="0.2">
      <c r="A925">
        <v>86396</v>
      </c>
      <c r="B925" t="s">
        <v>17</v>
      </c>
      <c r="C925">
        <v>32</v>
      </c>
      <c r="D925" t="s">
        <v>15</v>
      </c>
      <c r="E925" s="10">
        <v>33630</v>
      </c>
      <c r="F925" t="s">
        <v>16</v>
      </c>
    </row>
    <row r="926" spans="1:6" x14ac:dyDescent="0.2">
      <c r="A926">
        <v>86599</v>
      </c>
      <c r="B926" t="s">
        <v>26</v>
      </c>
      <c r="C926">
        <v>11</v>
      </c>
      <c r="D926" t="s">
        <v>18</v>
      </c>
      <c r="E926" s="10">
        <v>1984</v>
      </c>
      <c r="F926" t="s">
        <v>16</v>
      </c>
    </row>
    <row r="927" spans="1:6" x14ac:dyDescent="0.2">
      <c r="A927">
        <v>86667</v>
      </c>
      <c r="B927" t="s">
        <v>17</v>
      </c>
      <c r="C927">
        <v>30</v>
      </c>
      <c r="D927" t="s">
        <v>18</v>
      </c>
      <c r="E927" s="10">
        <v>40927</v>
      </c>
      <c r="F927" t="s">
        <v>16</v>
      </c>
    </row>
    <row r="928" spans="1:6" x14ac:dyDescent="0.2">
      <c r="A928">
        <v>86893</v>
      </c>
      <c r="B928" t="s">
        <v>17</v>
      </c>
      <c r="C928">
        <v>39</v>
      </c>
      <c r="D928" t="s">
        <v>15</v>
      </c>
      <c r="E928" s="10">
        <v>31076</v>
      </c>
      <c r="F928" t="s">
        <v>16</v>
      </c>
    </row>
    <row r="929" spans="1:6" x14ac:dyDescent="0.2">
      <c r="A929">
        <v>87080</v>
      </c>
      <c r="B929" t="s">
        <v>14</v>
      </c>
      <c r="C929">
        <v>16</v>
      </c>
      <c r="D929" t="s">
        <v>15</v>
      </c>
      <c r="E929" s="10">
        <v>4915</v>
      </c>
      <c r="F929" t="s">
        <v>16</v>
      </c>
    </row>
    <row r="930" spans="1:6" x14ac:dyDescent="0.2">
      <c r="A930">
        <v>87358</v>
      </c>
      <c r="B930" t="s">
        <v>21</v>
      </c>
      <c r="C930">
        <v>21</v>
      </c>
      <c r="D930" t="s">
        <v>15</v>
      </c>
      <c r="E930" s="10">
        <v>9700</v>
      </c>
      <c r="F930" t="s">
        <v>16</v>
      </c>
    </row>
    <row r="931" spans="1:6" hidden="1" x14ac:dyDescent="0.2">
      <c r="A931">
        <v>93118</v>
      </c>
      <c r="B931" t="s">
        <v>14</v>
      </c>
      <c r="C931">
        <v>16</v>
      </c>
      <c r="D931" t="s">
        <v>18</v>
      </c>
      <c r="E931">
        <v>4031</v>
      </c>
      <c r="F931" t="s">
        <v>24</v>
      </c>
    </row>
    <row r="932" spans="1:6" hidden="1" x14ac:dyDescent="0.2">
      <c r="A932">
        <v>93194</v>
      </c>
      <c r="B932" t="s">
        <v>26</v>
      </c>
      <c r="C932">
        <v>8</v>
      </c>
      <c r="D932" t="s">
        <v>18</v>
      </c>
      <c r="E932">
        <v>2623</v>
      </c>
      <c r="F932" t="s">
        <v>24</v>
      </c>
    </row>
    <row r="933" spans="1:6" x14ac:dyDescent="0.2">
      <c r="A933">
        <v>88132</v>
      </c>
      <c r="B933" t="s">
        <v>25</v>
      </c>
      <c r="C933">
        <v>71</v>
      </c>
      <c r="D933" t="s">
        <v>15</v>
      </c>
      <c r="E933" s="10">
        <v>56365</v>
      </c>
      <c r="F933" t="s">
        <v>16</v>
      </c>
    </row>
    <row r="934" spans="1:6" x14ac:dyDescent="0.2">
      <c r="A934">
        <v>88508</v>
      </c>
      <c r="B934" t="s">
        <v>26</v>
      </c>
      <c r="C934">
        <v>8</v>
      </c>
      <c r="D934" t="s">
        <v>15</v>
      </c>
      <c r="E934" s="10">
        <v>3572</v>
      </c>
      <c r="F934" t="s">
        <v>16</v>
      </c>
    </row>
    <row r="935" spans="1:6" x14ac:dyDescent="0.2">
      <c r="A935">
        <v>88618</v>
      </c>
      <c r="B935" t="s">
        <v>17</v>
      </c>
      <c r="C935">
        <v>31</v>
      </c>
      <c r="D935" t="s">
        <v>18</v>
      </c>
      <c r="E935" s="10">
        <v>39172</v>
      </c>
      <c r="F935" t="s">
        <v>16</v>
      </c>
    </row>
    <row r="936" spans="1:6" hidden="1" x14ac:dyDescent="0.2">
      <c r="A936">
        <v>93628</v>
      </c>
      <c r="B936" t="s">
        <v>26</v>
      </c>
      <c r="C936">
        <v>6</v>
      </c>
      <c r="D936" t="s">
        <v>18</v>
      </c>
      <c r="E936">
        <v>3259</v>
      </c>
      <c r="F936" t="s">
        <v>23</v>
      </c>
    </row>
    <row r="937" spans="1:6" hidden="1" x14ac:dyDescent="0.2">
      <c r="A937">
        <v>93673</v>
      </c>
      <c r="B937" t="s">
        <v>21</v>
      </c>
      <c r="C937">
        <v>18</v>
      </c>
      <c r="D937" t="s">
        <v>18</v>
      </c>
      <c r="E937">
        <v>9080</v>
      </c>
      <c r="F937" t="s">
        <v>24</v>
      </c>
    </row>
    <row r="938" spans="1:6" hidden="1" x14ac:dyDescent="0.2">
      <c r="A938">
        <v>93702</v>
      </c>
      <c r="B938" t="s">
        <v>17</v>
      </c>
      <c r="C938">
        <v>27</v>
      </c>
      <c r="D938" t="s">
        <v>15</v>
      </c>
      <c r="E938">
        <v>44293</v>
      </c>
      <c r="F938" t="s">
        <v>24</v>
      </c>
    </row>
    <row r="939" spans="1:6" hidden="1" x14ac:dyDescent="0.2">
      <c r="A939">
        <v>93727</v>
      </c>
      <c r="B939" t="s">
        <v>19</v>
      </c>
      <c r="C939">
        <v>4</v>
      </c>
      <c r="D939" t="s">
        <v>15</v>
      </c>
      <c r="E939">
        <v>1219</v>
      </c>
      <c r="F939" t="s">
        <v>24</v>
      </c>
    </row>
    <row r="940" spans="1:6" x14ac:dyDescent="0.2">
      <c r="A940">
        <v>88757</v>
      </c>
      <c r="B940" t="s">
        <v>25</v>
      </c>
      <c r="C940">
        <v>72</v>
      </c>
      <c r="D940" t="s">
        <v>18</v>
      </c>
      <c r="E940" s="10">
        <v>43957</v>
      </c>
      <c r="F940" t="s">
        <v>16</v>
      </c>
    </row>
    <row r="941" spans="1:6" x14ac:dyDescent="0.2">
      <c r="A941">
        <v>88930</v>
      </c>
      <c r="B941" t="s">
        <v>25</v>
      </c>
      <c r="C941">
        <v>62</v>
      </c>
      <c r="D941" t="s">
        <v>15</v>
      </c>
      <c r="E941" s="10">
        <v>58480</v>
      </c>
      <c r="F941" t="s">
        <v>16</v>
      </c>
    </row>
    <row r="942" spans="1:6" x14ac:dyDescent="0.2">
      <c r="A942">
        <v>89124</v>
      </c>
      <c r="B942" t="s">
        <v>25</v>
      </c>
      <c r="C942">
        <v>63</v>
      </c>
      <c r="D942" t="s">
        <v>18</v>
      </c>
      <c r="E942" s="10">
        <v>50030</v>
      </c>
      <c r="F942" t="s">
        <v>16</v>
      </c>
    </row>
    <row r="943" spans="1:6" x14ac:dyDescent="0.2">
      <c r="A943">
        <v>89334</v>
      </c>
      <c r="B943" t="s">
        <v>21</v>
      </c>
      <c r="C943">
        <v>20</v>
      </c>
      <c r="D943" t="s">
        <v>18</v>
      </c>
      <c r="E943" s="10">
        <v>7743</v>
      </c>
      <c r="F943" t="s">
        <v>16</v>
      </c>
    </row>
    <row r="944" spans="1:6" hidden="1" x14ac:dyDescent="0.2">
      <c r="A944">
        <v>94273</v>
      </c>
      <c r="B944" t="s">
        <v>14</v>
      </c>
      <c r="C944">
        <v>15</v>
      </c>
      <c r="D944" t="s">
        <v>18</v>
      </c>
      <c r="E944">
        <v>3099</v>
      </c>
      <c r="F944" t="s">
        <v>24</v>
      </c>
    </row>
    <row r="945" spans="1:6" x14ac:dyDescent="0.2">
      <c r="A945">
        <v>89611</v>
      </c>
      <c r="B945" t="s">
        <v>26</v>
      </c>
      <c r="C945">
        <v>9</v>
      </c>
      <c r="D945" t="s">
        <v>18</v>
      </c>
      <c r="E945" s="10">
        <v>2753</v>
      </c>
      <c r="F945" t="s">
        <v>16</v>
      </c>
    </row>
    <row r="946" spans="1:6" x14ac:dyDescent="0.2">
      <c r="A946">
        <v>90299</v>
      </c>
      <c r="B946" t="s">
        <v>21</v>
      </c>
      <c r="C946">
        <v>19</v>
      </c>
      <c r="D946" t="s">
        <v>18</v>
      </c>
      <c r="E946" s="10">
        <v>7570</v>
      </c>
      <c r="F946" t="s">
        <v>16</v>
      </c>
    </row>
    <row r="947" spans="1:6" hidden="1" x14ac:dyDescent="0.2">
      <c r="A947">
        <v>94480</v>
      </c>
      <c r="B947" t="s">
        <v>14</v>
      </c>
      <c r="C947">
        <v>17</v>
      </c>
      <c r="D947" t="s">
        <v>15</v>
      </c>
      <c r="E947">
        <v>5183</v>
      </c>
      <c r="F947" t="s">
        <v>22</v>
      </c>
    </row>
    <row r="948" spans="1:6" x14ac:dyDescent="0.2">
      <c r="A948">
        <v>90432</v>
      </c>
      <c r="B948" t="s">
        <v>17</v>
      </c>
      <c r="C948">
        <v>27</v>
      </c>
      <c r="D948" t="s">
        <v>15</v>
      </c>
      <c r="E948" s="10">
        <v>35720</v>
      </c>
      <c r="F948" t="s">
        <v>16</v>
      </c>
    </row>
    <row r="949" spans="1:6" x14ac:dyDescent="0.2">
      <c r="A949">
        <v>90670</v>
      </c>
      <c r="B949" t="s">
        <v>14</v>
      </c>
      <c r="C949">
        <v>13</v>
      </c>
      <c r="D949" t="s">
        <v>15</v>
      </c>
      <c r="E949" s="10">
        <v>5546</v>
      </c>
      <c r="F949" t="s">
        <v>16</v>
      </c>
    </row>
    <row r="950" spans="1:6" hidden="1" x14ac:dyDescent="0.2">
      <c r="A950">
        <v>94595</v>
      </c>
      <c r="B950" t="s">
        <v>19</v>
      </c>
      <c r="C950">
        <v>4</v>
      </c>
      <c r="D950" t="s">
        <v>15</v>
      </c>
      <c r="E950">
        <v>2335</v>
      </c>
      <c r="F950" t="s">
        <v>23</v>
      </c>
    </row>
    <row r="951" spans="1:6" x14ac:dyDescent="0.2">
      <c r="A951">
        <v>90814</v>
      </c>
      <c r="B951" t="s">
        <v>14</v>
      </c>
      <c r="C951">
        <v>16</v>
      </c>
      <c r="D951" t="s">
        <v>18</v>
      </c>
      <c r="E951" s="10">
        <v>3666</v>
      </c>
      <c r="F951" t="s">
        <v>16</v>
      </c>
    </row>
    <row r="952" spans="1:6" x14ac:dyDescent="0.2">
      <c r="A952">
        <v>90996</v>
      </c>
      <c r="B952" t="s">
        <v>17</v>
      </c>
      <c r="C952">
        <v>29</v>
      </c>
      <c r="D952" t="s">
        <v>15</v>
      </c>
      <c r="E952" s="10">
        <v>40755</v>
      </c>
      <c r="F952" t="s">
        <v>16</v>
      </c>
    </row>
    <row r="953" spans="1:6" x14ac:dyDescent="0.2">
      <c r="A953">
        <v>91288</v>
      </c>
      <c r="B953" t="s">
        <v>17</v>
      </c>
      <c r="C953">
        <v>29</v>
      </c>
      <c r="D953" t="s">
        <v>18</v>
      </c>
      <c r="E953" s="10">
        <v>41268</v>
      </c>
      <c r="F953" t="s">
        <v>16</v>
      </c>
    </row>
    <row r="954" spans="1:6" x14ac:dyDescent="0.2">
      <c r="A954">
        <v>91383</v>
      </c>
      <c r="B954" t="s">
        <v>26</v>
      </c>
      <c r="C954">
        <v>12</v>
      </c>
      <c r="D954" t="s">
        <v>18</v>
      </c>
      <c r="E954" s="10">
        <v>1996</v>
      </c>
      <c r="F954" t="s">
        <v>16</v>
      </c>
    </row>
    <row r="955" spans="1:6" x14ac:dyDescent="0.2">
      <c r="A955">
        <v>91766</v>
      </c>
      <c r="B955" t="s">
        <v>26</v>
      </c>
      <c r="C955">
        <v>7</v>
      </c>
      <c r="D955" t="s">
        <v>15</v>
      </c>
      <c r="E955" s="10">
        <v>2669</v>
      </c>
      <c r="F955" t="s">
        <v>16</v>
      </c>
    </row>
    <row r="956" spans="1:6" x14ac:dyDescent="0.2">
      <c r="A956">
        <v>92109</v>
      </c>
      <c r="B956" t="s">
        <v>21</v>
      </c>
      <c r="C956">
        <v>20</v>
      </c>
      <c r="D956" t="s">
        <v>18</v>
      </c>
      <c r="E956" s="10">
        <v>8359</v>
      </c>
      <c r="F956" t="s">
        <v>16</v>
      </c>
    </row>
    <row r="957" spans="1:6" hidden="1" x14ac:dyDescent="0.2">
      <c r="A957">
        <v>95313</v>
      </c>
      <c r="B957" t="s">
        <v>25</v>
      </c>
      <c r="C957">
        <v>79</v>
      </c>
      <c r="D957" t="s">
        <v>15</v>
      </c>
      <c r="E957">
        <v>57497</v>
      </c>
      <c r="F957" t="s">
        <v>24</v>
      </c>
    </row>
    <row r="958" spans="1:6" x14ac:dyDescent="0.2">
      <c r="A958">
        <v>92215</v>
      </c>
      <c r="B958" t="s">
        <v>26</v>
      </c>
      <c r="C958">
        <v>9</v>
      </c>
      <c r="D958" t="s">
        <v>15</v>
      </c>
      <c r="E958" s="10">
        <v>2632</v>
      </c>
      <c r="F958" t="s">
        <v>16</v>
      </c>
    </row>
    <row r="959" spans="1:6" x14ac:dyDescent="0.2">
      <c r="A959">
        <v>92265</v>
      </c>
      <c r="B959" t="s">
        <v>17</v>
      </c>
      <c r="C959">
        <v>32</v>
      </c>
      <c r="D959" t="s">
        <v>15</v>
      </c>
      <c r="E959" s="10">
        <v>43662</v>
      </c>
      <c r="F959" t="s">
        <v>16</v>
      </c>
    </row>
    <row r="960" spans="1:6" hidden="1" x14ac:dyDescent="0.2">
      <c r="A960">
        <v>95861</v>
      </c>
      <c r="B960" t="s">
        <v>21</v>
      </c>
      <c r="C960">
        <v>18</v>
      </c>
      <c r="D960" t="s">
        <v>18</v>
      </c>
      <c r="E960">
        <v>12651</v>
      </c>
      <c r="F960" t="s">
        <v>24</v>
      </c>
    </row>
    <row r="961" spans="1:6" x14ac:dyDescent="0.2">
      <c r="A961">
        <v>92381</v>
      </c>
      <c r="B961" t="s">
        <v>26</v>
      </c>
      <c r="C961">
        <v>11</v>
      </c>
      <c r="D961" t="s">
        <v>15</v>
      </c>
      <c r="E961" s="10">
        <v>620</v>
      </c>
      <c r="F961" t="s">
        <v>16</v>
      </c>
    </row>
    <row r="962" spans="1:6" x14ac:dyDescent="0.2">
      <c r="A962">
        <v>92494</v>
      </c>
      <c r="B962" t="s">
        <v>25</v>
      </c>
      <c r="C962">
        <v>73</v>
      </c>
      <c r="D962" t="s">
        <v>15</v>
      </c>
      <c r="E962" s="10">
        <v>49088</v>
      </c>
      <c r="F962" t="s">
        <v>16</v>
      </c>
    </row>
    <row r="963" spans="1:6" hidden="1" x14ac:dyDescent="0.2">
      <c r="A963">
        <v>96188</v>
      </c>
      <c r="B963" t="s">
        <v>17</v>
      </c>
      <c r="C963">
        <v>23</v>
      </c>
      <c r="D963" t="s">
        <v>18</v>
      </c>
      <c r="E963">
        <v>42560</v>
      </c>
      <c r="F963" t="s">
        <v>24</v>
      </c>
    </row>
    <row r="964" spans="1:6" hidden="1" x14ac:dyDescent="0.2">
      <c r="A964">
        <v>96258</v>
      </c>
      <c r="B964" t="s">
        <v>17</v>
      </c>
      <c r="C964">
        <v>29</v>
      </c>
      <c r="D964" t="s">
        <v>18</v>
      </c>
      <c r="E964">
        <v>40614</v>
      </c>
      <c r="F964" t="s">
        <v>24</v>
      </c>
    </row>
    <row r="965" spans="1:6" x14ac:dyDescent="0.2">
      <c r="A965">
        <v>92700</v>
      </c>
      <c r="B965" t="s">
        <v>19</v>
      </c>
      <c r="C965">
        <v>4</v>
      </c>
      <c r="D965" t="s">
        <v>15</v>
      </c>
      <c r="E965" s="10">
        <v>2543</v>
      </c>
      <c r="F965" t="s">
        <v>16</v>
      </c>
    </row>
    <row r="966" spans="1:6" x14ac:dyDescent="0.2">
      <c r="A966">
        <v>92789</v>
      </c>
      <c r="B966" t="s">
        <v>17</v>
      </c>
      <c r="C966">
        <v>25</v>
      </c>
      <c r="D966" t="s">
        <v>18</v>
      </c>
      <c r="E966" s="10">
        <v>39849</v>
      </c>
      <c r="F966" t="s">
        <v>16</v>
      </c>
    </row>
    <row r="967" spans="1:6" x14ac:dyDescent="0.2">
      <c r="A967">
        <v>93080</v>
      </c>
      <c r="B967" t="s">
        <v>17</v>
      </c>
      <c r="C967">
        <v>23</v>
      </c>
      <c r="D967" t="s">
        <v>18</v>
      </c>
      <c r="E967" s="10">
        <v>48349</v>
      </c>
      <c r="F967" t="s">
        <v>16</v>
      </c>
    </row>
    <row r="968" spans="1:6" x14ac:dyDescent="0.2">
      <c r="A968">
        <v>93415</v>
      </c>
      <c r="B968" t="s">
        <v>17</v>
      </c>
      <c r="C968">
        <v>22</v>
      </c>
      <c r="D968" t="s">
        <v>15</v>
      </c>
      <c r="E968" s="10">
        <v>50795</v>
      </c>
      <c r="F968" t="s">
        <v>16</v>
      </c>
    </row>
    <row r="969" spans="1:6" x14ac:dyDescent="0.2">
      <c r="A969">
        <v>93600</v>
      </c>
      <c r="B969" t="s">
        <v>17</v>
      </c>
      <c r="C969">
        <v>31</v>
      </c>
      <c r="D969" t="s">
        <v>18</v>
      </c>
      <c r="E969" s="10">
        <v>39577</v>
      </c>
      <c r="F969" t="s">
        <v>16</v>
      </c>
    </row>
    <row r="970" spans="1:6" x14ac:dyDescent="0.2">
      <c r="A970">
        <v>93757</v>
      </c>
      <c r="B970" t="s">
        <v>21</v>
      </c>
      <c r="C970">
        <v>18</v>
      </c>
      <c r="D970" t="s">
        <v>15</v>
      </c>
      <c r="E970" s="10">
        <v>10298</v>
      </c>
      <c r="F970" t="s">
        <v>16</v>
      </c>
    </row>
    <row r="971" spans="1:6" hidden="1" x14ac:dyDescent="0.2">
      <c r="A971">
        <v>96746</v>
      </c>
      <c r="B971" t="s">
        <v>26</v>
      </c>
      <c r="C971">
        <v>10</v>
      </c>
      <c r="D971" t="s">
        <v>18</v>
      </c>
      <c r="E971">
        <v>3382</v>
      </c>
      <c r="F971" t="s">
        <v>24</v>
      </c>
    </row>
    <row r="972" spans="1:6" x14ac:dyDescent="0.2">
      <c r="A972">
        <v>94072</v>
      </c>
      <c r="B972" t="s">
        <v>26</v>
      </c>
      <c r="C972">
        <v>11</v>
      </c>
      <c r="D972" t="s">
        <v>15</v>
      </c>
      <c r="E972" s="10">
        <v>1360</v>
      </c>
      <c r="F972" t="s">
        <v>16</v>
      </c>
    </row>
    <row r="973" spans="1:6" x14ac:dyDescent="0.2">
      <c r="A973">
        <v>94371</v>
      </c>
      <c r="B973" t="s">
        <v>17</v>
      </c>
      <c r="C973">
        <v>30</v>
      </c>
      <c r="D973" t="s">
        <v>18</v>
      </c>
      <c r="E973" s="10">
        <v>51486</v>
      </c>
      <c r="F973" t="s">
        <v>16</v>
      </c>
    </row>
    <row r="974" spans="1:6" x14ac:dyDescent="0.2">
      <c r="A974">
        <v>94540</v>
      </c>
      <c r="B974" t="s">
        <v>17</v>
      </c>
      <c r="C974">
        <v>25</v>
      </c>
      <c r="D974" t="s">
        <v>15</v>
      </c>
      <c r="E974" s="10">
        <v>40952</v>
      </c>
      <c r="F974" t="s">
        <v>16</v>
      </c>
    </row>
    <row r="975" spans="1:6" x14ac:dyDescent="0.2">
      <c r="A975">
        <v>94648</v>
      </c>
      <c r="B975" t="s">
        <v>17</v>
      </c>
      <c r="C975">
        <v>40</v>
      </c>
      <c r="D975" t="s">
        <v>15</v>
      </c>
      <c r="E975" s="10">
        <v>43175</v>
      </c>
      <c r="F975" t="s">
        <v>16</v>
      </c>
    </row>
    <row r="976" spans="1:6" hidden="1" x14ac:dyDescent="0.2">
      <c r="A976">
        <v>97211</v>
      </c>
      <c r="B976" t="s">
        <v>19</v>
      </c>
      <c r="C976">
        <v>5</v>
      </c>
      <c r="D976" t="s">
        <v>15</v>
      </c>
      <c r="E976">
        <v>240</v>
      </c>
      <c r="F976" t="s">
        <v>22</v>
      </c>
    </row>
    <row r="977" spans="1:6" x14ac:dyDescent="0.2">
      <c r="A977">
        <v>95110</v>
      </c>
      <c r="B977" t="s">
        <v>17</v>
      </c>
      <c r="C977">
        <v>29</v>
      </c>
      <c r="D977" t="s">
        <v>18</v>
      </c>
      <c r="E977" s="10">
        <v>43048</v>
      </c>
      <c r="F977" t="s">
        <v>16</v>
      </c>
    </row>
    <row r="978" spans="1:6" x14ac:dyDescent="0.2">
      <c r="A978">
        <v>95270</v>
      </c>
      <c r="B978" t="s">
        <v>17</v>
      </c>
      <c r="C978">
        <v>38</v>
      </c>
      <c r="D978" t="s">
        <v>18</v>
      </c>
      <c r="E978" s="10">
        <v>29709</v>
      </c>
      <c r="F978" t="s">
        <v>16</v>
      </c>
    </row>
    <row r="979" spans="1:6" hidden="1" x14ac:dyDescent="0.2">
      <c r="A979">
        <v>97426</v>
      </c>
      <c r="B979" t="s">
        <v>19</v>
      </c>
      <c r="C979">
        <v>1</v>
      </c>
      <c r="D979" t="s">
        <v>15</v>
      </c>
      <c r="E979">
        <v>2359</v>
      </c>
      <c r="F979" t="s">
        <v>23</v>
      </c>
    </row>
    <row r="980" spans="1:6" hidden="1" x14ac:dyDescent="0.2">
      <c r="A980">
        <v>97793</v>
      </c>
      <c r="B980" t="s">
        <v>26</v>
      </c>
      <c r="C980">
        <v>9</v>
      </c>
      <c r="D980" t="s">
        <v>15</v>
      </c>
      <c r="E980">
        <v>1048</v>
      </c>
      <c r="F980" t="s">
        <v>23</v>
      </c>
    </row>
    <row r="981" spans="1:6" x14ac:dyDescent="0.2">
      <c r="A981">
        <v>96426</v>
      </c>
      <c r="B981" t="s">
        <v>26</v>
      </c>
      <c r="C981">
        <v>9</v>
      </c>
      <c r="D981" t="s">
        <v>18</v>
      </c>
      <c r="E981" s="10">
        <v>2544</v>
      </c>
      <c r="F981" t="s">
        <v>16</v>
      </c>
    </row>
    <row r="982" spans="1:6" x14ac:dyDescent="0.2">
      <c r="A982">
        <v>96684</v>
      </c>
      <c r="B982" t="s">
        <v>14</v>
      </c>
      <c r="C982">
        <v>14</v>
      </c>
      <c r="D982" t="s">
        <v>18</v>
      </c>
      <c r="E982" s="10">
        <v>3524</v>
      </c>
      <c r="F982" t="s">
        <v>16</v>
      </c>
    </row>
    <row r="983" spans="1:6" x14ac:dyDescent="0.2">
      <c r="A983">
        <v>96739</v>
      </c>
      <c r="B983" t="s">
        <v>17</v>
      </c>
      <c r="C983">
        <v>30</v>
      </c>
      <c r="D983" t="s">
        <v>15</v>
      </c>
      <c r="E983" s="10">
        <v>40125</v>
      </c>
      <c r="F983" t="s">
        <v>16</v>
      </c>
    </row>
    <row r="984" spans="1:6" x14ac:dyDescent="0.2">
      <c r="A984">
        <v>96840</v>
      </c>
      <c r="B984" t="s">
        <v>25</v>
      </c>
      <c r="C984">
        <v>51</v>
      </c>
      <c r="D984" t="s">
        <v>15</v>
      </c>
      <c r="E984" s="10">
        <v>48622</v>
      </c>
      <c r="F984" t="s">
        <v>16</v>
      </c>
    </row>
    <row r="985" spans="1:6" x14ac:dyDescent="0.2">
      <c r="A985">
        <v>96974</v>
      </c>
      <c r="B985" t="s">
        <v>14</v>
      </c>
      <c r="C985">
        <v>17</v>
      </c>
      <c r="D985" t="s">
        <v>15</v>
      </c>
      <c r="E985" s="10">
        <v>5276</v>
      </c>
      <c r="F985" t="s">
        <v>16</v>
      </c>
    </row>
    <row r="986" spans="1:6" x14ac:dyDescent="0.2">
      <c r="A986">
        <v>97057</v>
      </c>
      <c r="B986" t="s">
        <v>17</v>
      </c>
      <c r="C986">
        <v>41</v>
      </c>
      <c r="D986" t="s">
        <v>18</v>
      </c>
      <c r="E986" s="10">
        <v>50202</v>
      </c>
      <c r="F986" t="s">
        <v>16</v>
      </c>
    </row>
    <row r="987" spans="1:6" hidden="1" x14ac:dyDescent="0.2">
      <c r="A987">
        <v>98428</v>
      </c>
      <c r="B987" t="s">
        <v>17</v>
      </c>
      <c r="C987">
        <v>24</v>
      </c>
      <c r="D987" t="s">
        <v>18</v>
      </c>
      <c r="E987">
        <v>49449</v>
      </c>
      <c r="F987" t="s">
        <v>24</v>
      </c>
    </row>
    <row r="988" spans="1:6" x14ac:dyDescent="0.2">
      <c r="A988">
        <v>97268</v>
      </c>
      <c r="B988" t="s">
        <v>17</v>
      </c>
      <c r="C988">
        <v>23</v>
      </c>
      <c r="D988" t="s">
        <v>18</v>
      </c>
      <c r="E988" s="10">
        <v>35016</v>
      </c>
      <c r="F988" t="s">
        <v>16</v>
      </c>
    </row>
    <row r="989" spans="1:6" x14ac:dyDescent="0.2">
      <c r="A989">
        <v>97316</v>
      </c>
      <c r="B989" t="s">
        <v>25</v>
      </c>
      <c r="C989">
        <v>75</v>
      </c>
      <c r="D989" t="s">
        <v>15</v>
      </c>
      <c r="E989" s="10">
        <v>55956</v>
      </c>
      <c r="F989" t="s">
        <v>16</v>
      </c>
    </row>
    <row r="990" spans="1:6" x14ac:dyDescent="0.2">
      <c r="A990">
        <v>97930</v>
      </c>
      <c r="B990" t="s">
        <v>25</v>
      </c>
      <c r="C990">
        <v>69</v>
      </c>
      <c r="D990" t="s">
        <v>15</v>
      </c>
      <c r="E990" s="10">
        <v>53561</v>
      </c>
      <c r="F990" t="s">
        <v>16</v>
      </c>
    </row>
    <row r="991" spans="1:6" x14ac:dyDescent="0.2">
      <c r="A991">
        <v>98268</v>
      </c>
      <c r="B991" t="s">
        <v>21</v>
      </c>
      <c r="C991">
        <v>18</v>
      </c>
      <c r="D991" t="s">
        <v>15</v>
      </c>
      <c r="E991" s="10">
        <v>10393</v>
      </c>
      <c r="F991" t="s">
        <v>16</v>
      </c>
    </row>
    <row r="992" spans="1:6" x14ac:dyDescent="0.2">
      <c r="A992">
        <v>98269</v>
      </c>
      <c r="B992" t="s">
        <v>17</v>
      </c>
      <c r="C992">
        <v>38</v>
      </c>
      <c r="D992" t="s">
        <v>18</v>
      </c>
      <c r="E992" s="10">
        <v>54191</v>
      </c>
      <c r="F992" t="s">
        <v>16</v>
      </c>
    </row>
    <row r="993" spans="1:6" x14ac:dyDescent="0.2">
      <c r="A993">
        <v>98382</v>
      </c>
      <c r="B993" t="s">
        <v>25</v>
      </c>
      <c r="C993">
        <v>54</v>
      </c>
      <c r="D993" t="s">
        <v>15</v>
      </c>
      <c r="E993" s="10">
        <v>46312</v>
      </c>
      <c r="F993" t="s">
        <v>16</v>
      </c>
    </row>
    <row r="994" spans="1:6" x14ac:dyDescent="0.2">
      <c r="A994">
        <v>98522</v>
      </c>
      <c r="B994" t="s">
        <v>14</v>
      </c>
      <c r="C994">
        <v>13</v>
      </c>
      <c r="D994" t="s">
        <v>15</v>
      </c>
      <c r="E994" s="10">
        <v>3097</v>
      </c>
      <c r="F994" t="s">
        <v>16</v>
      </c>
    </row>
    <row r="995" spans="1:6" hidden="1" x14ac:dyDescent="0.2">
      <c r="A995">
        <v>99147</v>
      </c>
      <c r="B995" t="s">
        <v>21</v>
      </c>
      <c r="C995">
        <v>20</v>
      </c>
      <c r="D995" t="s">
        <v>18</v>
      </c>
      <c r="E995">
        <v>7288</v>
      </c>
      <c r="F995" t="s">
        <v>24</v>
      </c>
    </row>
    <row r="996" spans="1:6" hidden="1" x14ac:dyDescent="0.2">
      <c r="A996">
        <v>99529</v>
      </c>
      <c r="B996" t="s">
        <v>19</v>
      </c>
      <c r="C996">
        <v>2</v>
      </c>
      <c r="D996" t="s">
        <v>18</v>
      </c>
      <c r="E996">
        <v>2258</v>
      </c>
      <c r="F996" t="s">
        <v>23</v>
      </c>
    </row>
    <row r="997" spans="1:6" x14ac:dyDescent="0.2">
      <c r="A997">
        <v>98547</v>
      </c>
      <c r="B997" t="s">
        <v>14</v>
      </c>
      <c r="C997">
        <v>13</v>
      </c>
      <c r="D997" t="s">
        <v>15</v>
      </c>
      <c r="E997" s="10">
        <v>3392</v>
      </c>
      <c r="F997" t="s">
        <v>16</v>
      </c>
    </row>
    <row r="998" spans="1:6" x14ac:dyDescent="0.2">
      <c r="A998">
        <v>99046</v>
      </c>
      <c r="B998" t="s">
        <v>17</v>
      </c>
      <c r="C998">
        <v>30</v>
      </c>
      <c r="D998" t="s">
        <v>15</v>
      </c>
      <c r="E998" s="10">
        <v>35231</v>
      </c>
      <c r="F998" t="s">
        <v>16</v>
      </c>
    </row>
    <row r="999" spans="1:6" hidden="1" x14ac:dyDescent="0.2">
      <c r="A999">
        <v>99718</v>
      </c>
      <c r="B999" t="s">
        <v>14</v>
      </c>
      <c r="C999">
        <v>17</v>
      </c>
      <c r="D999" t="s">
        <v>15</v>
      </c>
      <c r="E999">
        <v>3673</v>
      </c>
      <c r="F999" t="s">
        <v>23</v>
      </c>
    </row>
    <row r="1000" spans="1:6" x14ac:dyDescent="0.2">
      <c r="A1000">
        <v>99622</v>
      </c>
      <c r="B1000" t="s">
        <v>25</v>
      </c>
      <c r="C1000">
        <v>86</v>
      </c>
      <c r="D1000" t="s">
        <v>15</v>
      </c>
      <c r="E1000" s="10">
        <v>57055</v>
      </c>
      <c r="F1000" t="s">
        <v>16</v>
      </c>
    </row>
    <row r="1001" spans="1:6" x14ac:dyDescent="0.2">
      <c r="A1001">
        <v>99898</v>
      </c>
      <c r="B1001" t="s">
        <v>17</v>
      </c>
      <c r="C1001">
        <v>23</v>
      </c>
      <c r="D1001" t="s">
        <v>18</v>
      </c>
      <c r="E1001" s="10">
        <v>26702</v>
      </c>
      <c r="F1001" t="s">
        <v>16</v>
      </c>
    </row>
  </sheetData>
  <autoFilter ref="A1:F1001" xr:uid="{62884050-1896-D44F-B076-D495C1BC11E8}">
    <filterColumn colId="5">
      <filters>
        <filter val="Hispanic"/>
        <filter val="White not Hispanic"/>
      </filters>
    </filterColumn>
    <sortState xmlns:xlrd2="http://schemas.microsoft.com/office/spreadsheetml/2017/richdata2" ref="A2:F1001">
      <sortCondition ref="F1:F1001"/>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A3B41-43E4-4849-87F6-2826A3832D5C}">
  <dimension ref="A1:B57"/>
  <sheetViews>
    <sheetView tabSelected="1" topLeftCell="A7" workbookViewId="0">
      <selection activeCell="E25" sqref="E25"/>
    </sheetView>
  </sheetViews>
  <sheetFormatPr baseColWidth="10" defaultColWidth="11" defaultRowHeight="16" x14ac:dyDescent="0.2"/>
  <cols>
    <col min="2" max="2" width="10.6640625" bestFit="1" customWidth="1"/>
  </cols>
  <sheetData>
    <row r="1" spans="1:1" ht="20" x14ac:dyDescent="0.2">
      <c r="A1" s="7" t="s">
        <v>34</v>
      </c>
    </row>
    <row r="17" spans="1:2" ht="17" thickBot="1" x14ac:dyDescent="0.25"/>
    <row r="18" spans="1:2" ht="46" thickBot="1" x14ac:dyDescent="0.25">
      <c r="A18" s="1" t="s">
        <v>30</v>
      </c>
      <c r="B18" s="2" t="s">
        <v>31</v>
      </c>
    </row>
    <row r="19" spans="1:2" ht="17" thickBot="1" x14ac:dyDescent="0.25">
      <c r="A19" s="3" t="s">
        <v>32</v>
      </c>
      <c r="B19" s="4">
        <v>82</v>
      </c>
    </row>
    <row r="20" spans="1:2" ht="17" thickBot="1" x14ac:dyDescent="0.25">
      <c r="A20" s="5" t="s">
        <v>33</v>
      </c>
      <c r="B20" s="6">
        <v>86</v>
      </c>
    </row>
    <row r="21" spans="1:2" x14ac:dyDescent="0.2">
      <c r="A21" s="9" t="s">
        <v>61</v>
      </c>
    </row>
    <row r="22" spans="1:2" x14ac:dyDescent="0.2">
      <c r="A22" s="13" t="s">
        <v>70</v>
      </c>
    </row>
    <row r="23" spans="1:2" x14ac:dyDescent="0.2">
      <c r="A23" s="13" t="s">
        <v>62</v>
      </c>
    </row>
    <row r="24" spans="1:2" x14ac:dyDescent="0.2">
      <c r="A24" s="12" t="s">
        <v>63</v>
      </c>
    </row>
    <row r="28" spans="1:2" ht="20" x14ac:dyDescent="0.2">
      <c r="A28" s="7" t="s">
        <v>35</v>
      </c>
    </row>
    <row r="53" spans="1:1" x14ac:dyDescent="0.2">
      <c r="A53" s="9" t="s">
        <v>61</v>
      </c>
    </row>
    <row r="54" spans="1:1" x14ac:dyDescent="0.2">
      <c r="A54" s="13" t="s">
        <v>64</v>
      </c>
    </row>
    <row r="55" spans="1:1" x14ac:dyDescent="0.2">
      <c r="A55" s="13" t="s">
        <v>65</v>
      </c>
    </row>
    <row r="56" spans="1:1" x14ac:dyDescent="0.2">
      <c r="A56" s="12" t="s">
        <v>66</v>
      </c>
    </row>
    <row r="57" spans="1:1" x14ac:dyDescent="0.2">
      <c r="A57" s="12" t="s">
        <v>67</v>
      </c>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Part1_Diabetes</vt:lpstr>
      <vt:lpstr>Part2_CalDDS</vt:lpstr>
      <vt:lpstr>Part3_Crtiques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 Jingyi</dc:creator>
  <cp:lastModifiedBy>Jake Burleson</cp:lastModifiedBy>
  <dcterms:created xsi:type="dcterms:W3CDTF">2026-03-18T16:29:10Z</dcterms:created>
  <dcterms:modified xsi:type="dcterms:W3CDTF">2026-04-01T01:47:39Z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80e953-9b6b-468f-8427-2c8321bc8283_Enabled">
    <vt:lpwstr>true</vt:lpwstr>
  </property>
  <property fmtid="{D5CDD505-2E9C-101B-9397-08002B2CF9AE}" pid="3" name="MSIP_Label_ca80e953-9b6b-468f-8427-2c8321bc8283_SetDate">
    <vt:lpwstr>2026-03-22T21:39:39Z</vt:lpwstr>
  </property>
  <property fmtid="{D5CDD505-2E9C-101B-9397-08002B2CF9AE}" pid="4" name="MSIP_Label_ca80e953-9b6b-468f-8427-2c8321bc8283_Method">
    <vt:lpwstr>Standard</vt:lpwstr>
  </property>
  <property fmtid="{D5CDD505-2E9C-101B-9397-08002B2CF9AE}" pid="5" name="MSIP_Label_ca80e953-9b6b-468f-8427-2c8321bc8283_Name">
    <vt:lpwstr>University-Internal</vt:lpwstr>
  </property>
  <property fmtid="{D5CDD505-2E9C-101B-9397-08002B2CF9AE}" pid="6" name="MSIP_Label_ca80e953-9b6b-468f-8427-2c8321bc8283_SiteId">
    <vt:lpwstr>eed99d2e-3551-4ec5-9e90-10a7ff3e13a2</vt:lpwstr>
  </property>
  <property fmtid="{D5CDD505-2E9C-101B-9397-08002B2CF9AE}" pid="7" name="MSIP_Label_ca80e953-9b6b-468f-8427-2c8321bc8283_ActionId">
    <vt:lpwstr>b883bd14-262b-42ef-b9cd-662e69627536</vt:lpwstr>
  </property>
  <property fmtid="{D5CDD505-2E9C-101B-9397-08002B2CF9AE}" pid="8" name="MSIP_Label_ca80e953-9b6b-468f-8427-2c8321bc8283_ContentBits">
    <vt:lpwstr>0</vt:lpwstr>
  </property>
  <property fmtid="{D5CDD505-2E9C-101B-9397-08002B2CF9AE}" pid="9" name="MSIP_Label_ca80e953-9b6b-468f-8427-2c8321bc8283_Tag">
    <vt:lpwstr>50, 3, 0, 1</vt:lpwstr>
  </property>
</Properties>
</file>